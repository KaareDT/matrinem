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umni-my.sharepoint.com/personal/cxb592_alumni_ku_dk/Documents/R/current_project/MATRINEM/Data/RawData/"/>
    </mc:Choice>
  </mc:AlternateContent>
  <xr:revisionPtr revIDLastSave="559" documentId="8_{673E6977-3F50-BA48-9DCF-88639E5C46ED}" xr6:coauthVersionLast="47" xr6:coauthVersionMax="47" xr10:uidLastSave="{9C58E432-994F-F440-BC5E-D85B68A64AAD}"/>
  <bookViews>
    <workbookView xWindow="16800" yWindow="500" windowWidth="16800" windowHeight="20500" xr2:uid="{00000000-000D-0000-FFFF-FFFF00000000}"/>
  </bookViews>
  <sheets>
    <sheet name="mesoscale_round_1" sheetId="11" r:id="rId1"/>
    <sheet name="IFNg" sheetId="1" r:id="rId2"/>
    <sheet name="IL-10" sheetId="2" r:id="rId3"/>
    <sheet name="IL-12p70" sheetId="3" r:id="rId4"/>
    <sheet name="IL-1b" sheetId="4" r:id="rId5"/>
    <sheet name="IL-2" sheetId="5" r:id="rId6"/>
    <sheet name="IL-4" sheetId="6" r:id="rId7"/>
    <sheet name="IL-5" sheetId="7" r:id="rId8"/>
    <sheet name="IL-6" sheetId="8" r:id="rId9"/>
    <sheet name="KCGRO" sheetId="9" r:id="rId10"/>
    <sheet name="TNFa" sheetId="10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1" l="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I3" i="1" a="1"/>
  <c r="I3" i="1" s="1"/>
  <c r="C4" i="11" s="1"/>
  <c r="I4" i="1" a="1"/>
  <c r="I4" i="1" s="1"/>
  <c r="I5" i="1" a="1"/>
  <c r="I5" i="1" s="1"/>
  <c r="C6" i="11" s="1"/>
  <c r="I6" i="1" a="1"/>
  <c r="I6" i="1" s="1"/>
  <c r="C7" i="11" s="1"/>
  <c r="I7" i="1" a="1"/>
  <c r="I7" i="1" s="1"/>
  <c r="C8" i="11" s="1"/>
  <c r="I8" i="1" a="1"/>
  <c r="I8" i="1"/>
  <c r="I10" i="1" a="1"/>
  <c r="I10" i="1" s="1"/>
  <c r="C11" i="11" s="1"/>
  <c r="I12" i="1" a="1"/>
  <c r="I12" i="1"/>
  <c r="I13" i="1" a="1"/>
  <c r="I13" i="1" s="1"/>
  <c r="C14" i="11" s="1"/>
  <c r="I14" i="1" a="1"/>
  <c r="I14" i="1" s="1"/>
  <c r="C15" i="11" s="1"/>
  <c r="I15" i="1" a="1"/>
  <c r="I15" i="1" s="1"/>
  <c r="C16" i="11" s="1"/>
  <c r="I16" i="1" a="1"/>
  <c r="I16" i="1" s="1"/>
  <c r="I17" i="1" a="1"/>
  <c r="I17" i="1" s="1"/>
  <c r="C18" i="11" s="1"/>
  <c r="I18" i="1" a="1"/>
  <c r="I18" i="1" s="1"/>
  <c r="C19" i="11" s="1"/>
  <c r="I19" i="1" a="1"/>
  <c r="I19" i="1" s="1"/>
  <c r="C20" i="11" s="1"/>
  <c r="I21" i="1" a="1"/>
  <c r="I21" i="1" s="1"/>
  <c r="C22" i="11" s="1"/>
  <c r="I22" i="1" a="1"/>
  <c r="I22" i="1" s="1"/>
  <c r="C23" i="11" s="1"/>
  <c r="I23" i="1" a="1"/>
  <c r="I23" i="1" s="1"/>
  <c r="C24" i="11" s="1"/>
  <c r="I24" i="1" a="1"/>
  <c r="I24" i="1" s="1"/>
  <c r="I25" i="1" a="1"/>
  <c r="I25" i="1" s="1"/>
  <c r="C26" i="11" s="1"/>
  <c r="I26" i="1" a="1"/>
  <c r="I26" i="1" s="1"/>
  <c r="C27" i="11" s="1"/>
  <c r="I27" i="1" a="1"/>
  <c r="I27" i="1" s="1"/>
  <c r="C28" i="11" s="1"/>
  <c r="I28" i="1" a="1"/>
  <c r="I28" i="1" s="1"/>
  <c r="I29" i="1" a="1"/>
  <c r="I29" i="1" s="1"/>
  <c r="C30" i="11" s="1"/>
  <c r="I30" i="1" a="1"/>
  <c r="I30" i="1" s="1"/>
  <c r="C31" i="11" s="1"/>
  <c r="I45" i="1" a="1"/>
  <c r="I45" i="1" s="1"/>
  <c r="C46" i="11" s="1"/>
  <c r="I46" i="1" a="1"/>
  <c r="I46" i="1" s="1"/>
  <c r="C47" i="11" s="1"/>
  <c r="I48" i="1" a="1"/>
  <c r="I48" i="1"/>
  <c r="I51" i="1" a="1"/>
  <c r="I51" i="1" s="1"/>
  <c r="C52" i="11" s="1"/>
  <c r="I58" i="1" a="1"/>
  <c r="I58" i="1" s="1"/>
  <c r="C59" i="11" s="1"/>
  <c r="I59" i="1" a="1"/>
  <c r="I59" i="1" s="1"/>
  <c r="C60" i="11" s="1"/>
  <c r="I2" i="1" a="1"/>
  <c r="I2" i="1" s="1"/>
  <c r="C3" i="11" s="1"/>
  <c r="C49" i="11"/>
  <c r="C9" i="11"/>
  <c r="F32" i="11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I60" i="9"/>
  <c r="I59" i="9"/>
  <c r="I58" i="9"/>
  <c r="I57" i="9"/>
  <c r="K58" i="11" s="1"/>
  <c r="I56" i="9"/>
  <c r="I55" i="9"/>
  <c r="I54" i="9"/>
  <c r="I53" i="9"/>
  <c r="K54" i="11" s="1"/>
  <c r="I52" i="9"/>
  <c r="I51" i="9"/>
  <c r="I50" i="9"/>
  <c r="I49" i="9"/>
  <c r="K50" i="11" s="1"/>
  <c r="I48" i="9"/>
  <c r="I47" i="9"/>
  <c r="I46" i="9"/>
  <c r="I45" i="9"/>
  <c r="K46" i="11" s="1"/>
  <c r="I44" i="9"/>
  <c r="I43" i="9"/>
  <c r="I42" i="9"/>
  <c r="I41" i="9"/>
  <c r="K42" i="11" s="1"/>
  <c r="I40" i="9"/>
  <c r="I39" i="9"/>
  <c r="I38" i="9"/>
  <c r="I37" i="9"/>
  <c r="K38" i="11" s="1"/>
  <c r="I36" i="9"/>
  <c r="I35" i="9"/>
  <c r="I34" i="9"/>
  <c r="I33" i="9"/>
  <c r="K34" i="11" s="1"/>
  <c r="I32" i="9"/>
  <c r="I31" i="9"/>
  <c r="I30" i="9"/>
  <c r="I29" i="9"/>
  <c r="K30" i="11" s="1"/>
  <c r="I28" i="9"/>
  <c r="I27" i="9"/>
  <c r="I26" i="9"/>
  <c r="I25" i="9"/>
  <c r="K26" i="11" s="1"/>
  <c r="I24" i="9"/>
  <c r="I23" i="9"/>
  <c r="I22" i="9"/>
  <c r="I21" i="9"/>
  <c r="K22" i="11" s="1"/>
  <c r="I20" i="9"/>
  <c r="I19" i="9"/>
  <c r="I18" i="9"/>
  <c r="I17" i="9"/>
  <c r="K18" i="11" s="1"/>
  <c r="I16" i="9"/>
  <c r="I15" i="9"/>
  <c r="I14" i="9"/>
  <c r="I13" i="9"/>
  <c r="K14" i="11" s="1"/>
  <c r="I12" i="9"/>
  <c r="I11" i="9"/>
  <c r="I10" i="9"/>
  <c r="I9" i="9"/>
  <c r="K10" i="11" s="1"/>
  <c r="I8" i="9"/>
  <c r="I7" i="9"/>
  <c r="I6" i="9"/>
  <c r="I5" i="9"/>
  <c r="K6" i="11" s="1"/>
  <c r="I4" i="9"/>
  <c r="I3" i="9"/>
  <c r="I2" i="9"/>
  <c r="K3" i="11" s="1"/>
  <c r="I60" i="8"/>
  <c r="I59" i="8"/>
  <c r="I58" i="8"/>
  <c r="I57" i="8"/>
  <c r="J58" i="11" s="1"/>
  <c r="I56" i="8"/>
  <c r="I55" i="8"/>
  <c r="I54" i="8"/>
  <c r="I53" i="8"/>
  <c r="J54" i="11" s="1"/>
  <c r="I52" i="8"/>
  <c r="I51" i="8"/>
  <c r="I50" i="8"/>
  <c r="I49" i="8"/>
  <c r="J50" i="11" s="1"/>
  <c r="I48" i="8"/>
  <c r="I47" i="8"/>
  <c r="I46" i="8"/>
  <c r="I45" i="8"/>
  <c r="J46" i="11" s="1"/>
  <c r="I44" i="8"/>
  <c r="I43" i="8"/>
  <c r="I42" i="8"/>
  <c r="I41" i="8"/>
  <c r="J42" i="11" s="1"/>
  <c r="I40" i="8"/>
  <c r="I39" i="8"/>
  <c r="I38" i="8"/>
  <c r="I37" i="8"/>
  <c r="J38" i="11" s="1"/>
  <c r="I36" i="8"/>
  <c r="I35" i="8"/>
  <c r="I34" i="8"/>
  <c r="I33" i="8"/>
  <c r="J34" i="11" s="1"/>
  <c r="I32" i="8"/>
  <c r="I31" i="8"/>
  <c r="I30" i="8"/>
  <c r="I29" i="8"/>
  <c r="J30" i="11" s="1"/>
  <c r="I28" i="8"/>
  <c r="I27" i="8"/>
  <c r="I26" i="8"/>
  <c r="I25" i="8"/>
  <c r="J26" i="11" s="1"/>
  <c r="I24" i="8"/>
  <c r="I23" i="8"/>
  <c r="I22" i="8"/>
  <c r="I21" i="8"/>
  <c r="J22" i="11" s="1"/>
  <c r="I20" i="8"/>
  <c r="I19" i="8"/>
  <c r="I18" i="8"/>
  <c r="I17" i="8"/>
  <c r="J18" i="11" s="1"/>
  <c r="I16" i="8"/>
  <c r="I15" i="8"/>
  <c r="I14" i="8"/>
  <c r="I13" i="8"/>
  <c r="J14" i="11" s="1"/>
  <c r="I12" i="8"/>
  <c r="I11" i="8"/>
  <c r="I10" i="8"/>
  <c r="I9" i="8"/>
  <c r="I8" i="8"/>
  <c r="I7" i="8"/>
  <c r="I6" i="8"/>
  <c r="I5" i="8"/>
  <c r="J6" i="11" s="1"/>
  <c r="I4" i="8"/>
  <c r="I3" i="8"/>
  <c r="I2" i="8"/>
  <c r="I60" i="7"/>
  <c r="I59" i="7"/>
  <c r="I58" i="7"/>
  <c r="I57" i="7"/>
  <c r="I58" i="11" s="1"/>
  <c r="I56" i="7"/>
  <c r="I55" i="7"/>
  <c r="I54" i="7"/>
  <c r="I53" i="7"/>
  <c r="I54" i="11" s="1"/>
  <c r="I52" i="7"/>
  <c r="I51" i="7"/>
  <c r="I50" i="7"/>
  <c r="I49" i="7"/>
  <c r="I50" i="11" s="1"/>
  <c r="I48" i="7"/>
  <c r="I47" i="7"/>
  <c r="I46" i="7"/>
  <c r="I45" i="7"/>
  <c r="I46" i="11" s="1"/>
  <c r="I44" i="7"/>
  <c r="I43" i="7"/>
  <c r="I42" i="7"/>
  <c r="I41" i="7"/>
  <c r="I42" i="11" s="1"/>
  <c r="I40" i="7"/>
  <c r="I39" i="7"/>
  <c r="I38" i="7"/>
  <c r="I37" i="7"/>
  <c r="I38" i="11" s="1"/>
  <c r="I36" i="7"/>
  <c r="I35" i="7"/>
  <c r="I34" i="7"/>
  <c r="I33" i="7"/>
  <c r="I34" i="11" s="1"/>
  <c r="I32" i="7"/>
  <c r="I31" i="7"/>
  <c r="I30" i="7"/>
  <c r="I29" i="7"/>
  <c r="I30" i="11" s="1"/>
  <c r="I28" i="7"/>
  <c r="I27" i="7"/>
  <c r="I26" i="7"/>
  <c r="I25" i="7"/>
  <c r="I26" i="11" s="1"/>
  <c r="I24" i="7"/>
  <c r="I23" i="7"/>
  <c r="I22" i="7"/>
  <c r="I21" i="7"/>
  <c r="I22" i="11" s="1"/>
  <c r="I20" i="7"/>
  <c r="I19" i="7"/>
  <c r="I18" i="7"/>
  <c r="I17" i="7"/>
  <c r="I18" i="11" s="1"/>
  <c r="I16" i="7"/>
  <c r="I15" i="7"/>
  <c r="I14" i="7"/>
  <c r="I13" i="7"/>
  <c r="I14" i="11" s="1"/>
  <c r="I12" i="7"/>
  <c r="I11" i="7"/>
  <c r="I10" i="7"/>
  <c r="I9" i="7"/>
  <c r="I10" i="11" s="1"/>
  <c r="I8" i="7"/>
  <c r="I7" i="7"/>
  <c r="I6" i="7"/>
  <c r="I5" i="7"/>
  <c r="I6" i="11" s="1"/>
  <c r="I4" i="7"/>
  <c r="I3" i="7"/>
  <c r="I2" i="7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60" i="5"/>
  <c r="I59" i="5"/>
  <c r="I58" i="5"/>
  <c r="I57" i="5"/>
  <c r="G58" i="11" s="1"/>
  <c r="I56" i="5"/>
  <c r="I55" i="5"/>
  <c r="I54" i="5"/>
  <c r="I53" i="5"/>
  <c r="G54" i="11" s="1"/>
  <c r="I52" i="5"/>
  <c r="I51" i="5"/>
  <c r="I50" i="5"/>
  <c r="I49" i="5"/>
  <c r="G50" i="11" s="1"/>
  <c r="I48" i="5"/>
  <c r="I47" i="5"/>
  <c r="I46" i="5"/>
  <c r="I45" i="5"/>
  <c r="G46" i="11" s="1"/>
  <c r="I44" i="5"/>
  <c r="I43" i="5"/>
  <c r="I42" i="5"/>
  <c r="I41" i="5"/>
  <c r="G42" i="11" s="1"/>
  <c r="I40" i="5"/>
  <c r="I39" i="5"/>
  <c r="I38" i="5"/>
  <c r="I37" i="5"/>
  <c r="G38" i="11" s="1"/>
  <c r="I36" i="5"/>
  <c r="I35" i="5"/>
  <c r="I34" i="5"/>
  <c r="I33" i="5"/>
  <c r="G34" i="11" s="1"/>
  <c r="I32" i="5"/>
  <c r="I31" i="5"/>
  <c r="I30" i="5"/>
  <c r="I29" i="5"/>
  <c r="G30" i="11" s="1"/>
  <c r="I28" i="5"/>
  <c r="I27" i="5"/>
  <c r="I26" i="5"/>
  <c r="I25" i="5"/>
  <c r="G26" i="11" s="1"/>
  <c r="I24" i="5"/>
  <c r="I23" i="5"/>
  <c r="I22" i="5"/>
  <c r="I21" i="5"/>
  <c r="G22" i="11" s="1"/>
  <c r="I20" i="5"/>
  <c r="I19" i="5"/>
  <c r="I18" i="5"/>
  <c r="I17" i="5"/>
  <c r="G18" i="11" s="1"/>
  <c r="I16" i="5"/>
  <c r="I15" i="5"/>
  <c r="I14" i="5"/>
  <c r="I13" i="5"/>
  <c r="G14" i="11" s="1"/>
  <c r="I12" i="5"/>
  <c r="I11" i="5"/>
  <c r="I10" i="5"/>
  <c r="I9" i="5"/>
  <c r="G10" i="11" s="1"/>
  <c r="I8" i="5"/>
  <c r="I7" i="5"/>
  <c r="I6" i="5"/>
  <c r="I5" i="5"/>
  <c r="G6" i="11" s="1"/>
  <c r="I4" i="5"/>
  <c r="I3" i="5"/>
  <c r="I2" i="5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F18" i="11" s="1"/>
  <c r="I16" i="4"/>
  <c r="I15" i="4"/>
  <c r="I14" i="4"/>
  <c r="I13" i="4"/>
  <c r="F14" i="11" s="1"/>
  <c r="I12" i="4"/>
  <c r="I11" i="4"/>
  <c r="I10" i="4"/>
  <c r="I9" i="4"/>
  <c r="F10" i="11" s="1"/>
  <c r="I8" i="4"/>
  <c r="I7" i="4"/>
  <c r="I6" i="4"/>
  <c r="I5" i="4"/>
  <c r="F6" i="11" s="1"/>
  <c r="I4" i="4"/>
  <c r="I3" i="4"/>
  <c r="I2" i="4"/>
  <c r="I60" i="3"/>
  <c r="I59" i="3"/>
  <c r="I58" i="3"/>
  <c r="I57" i="3"/>
  <c r="E58" i="11" s="1"/>
  <c r="I56" i="3"/>
  <c r="I55" i="3"/>
  <c r="I54" i="3"/>
  <c r="I53" i="3"/>
  <c r="E54" i="11" s="1"/>
  <c r="I52" i="3"/>
  <c r="I51" i="3"/>
  <c r="I50" i="3"/>
  <c r="I49" i="3"/>
  <c r="E50" i="11" s="1"/>
  <c r="I48" i="3"/>
  <c r="I47" i="3"/>
  <c r="I46" i="3"/>
  <c r="I45" i="3"/>
  <c r="E46" i="11" s="1"/>
  <c r="I44" i="3"/>
  <c r="I43" i="3"/>
  <c r="I42" i="3"/>
  <c r="I41" i="3"/>
  <c r="E42" i="11" s="1"/>
  <c r="I40" i="3"/>
  <c r="I39" i="3"/>
  <c r="I38" i="3"/>
  <c r="I37" i="3"/>
  <c r="E38" i="11" s="1"/>
  <c r="I36" i="3"/>
  <c r="I35" i="3"/>
  <c r="I34" i="3"/>
  <c r="I33" i="3"/>
  <c r="E34" i="11" s="1"/>
  <c r="I32" i="3"/>
  <c r="I31" i="3"/>
  <c r="I30" i="3"/>
  <c r="I29" i="3"/>
  <c r="E30" i="11" s="1"/>
  <c r="I28" i="3"/>
  <c r="I27" i="3"/>
  <c r="I26" i="3"/>
  <c r="I25" i="3"/>
  <c r="I24" i="3"/>
  <c r="I23" i="3"/>
  <c r="I22" i="3"/>
  <c r="I21" i="3"/>
  <c r="I20" i="3"/>
  <c r="I19" i="3"/>
  <c r="I18" i="3"/>
  <c r="I17" i="3"/>
  <c r="E18" i="11" s="1"/>
  <c r="I16" i="3"/>
  <c r="I15" i="3"/>
  <c r="I14" i="3"/>
  <c r="I13" i="3"/>
  <c r="I12" i="3"/>
  <c r="I11" i="3"/>
  <c r="I10" i="3"/>
  <c r="I9" i="3"/>
  <c r="E10" i="11" s="1"/>
  <c r="I8" i="3"/>
  <c r="I7" i="3"/>
  <c r="I6" i="3"/>
  <c r="I5" i="3"/>
  <c r="I4" i="3"/>
  <c r="I3" i="3"/>
  <c r="I2" i="3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C13" i="11"/>
  <c r="K4" i="11"/>
  <c r="K5" i="11"/>
  <c r="K7" i="11"/>
  <c r="K8" i="11"/>
  <c r="K9" i="11"/>
  <c r="K11" i="11"/>
  <c r="K12" i="11"/>
  <c r="K13" i="11"/>
  <c r="K15" i="11"/>
  <c r="K16" i="11"/>
  <c r="K17" i="11"/>
  <c r="K19" i="11"/>
  <c r="K20" i="11"/>
  <c r="K21" i="11"/>
  <c r="K23" i="11"/>
  <c r="K24" i="11"/>
  <c r="K25" i="11"/>
  <c r="K27" i="11"/>
  <c r="K28" i="11"/>
  <c r="K29" i="11"/>
  <c r="K31" i="11"/>
  <c r="K32" i="11"/>
  <c r="K33" i="11"/>
  <c r="K35" i="11"/>
  <c r="K36" i="11"/>
  <c r="K37" i="11"/>
  <c r="K39" i="11"/>
  <c r="K40" i="11"/>
  <c r="K41" i="11"/>
  <c r="K43" i="11"/>
  <c r="K44" i="11"/>
  <c r="K45" i="11"/>
  <c r="K47" i="11"/>
  <c r="K48" i="11"/>
  <c r="K49" i="11"/>
  <c r="K51" i="11"/>
  <c r="K52" i="11"/>
  <c r="K53" i="11"/>
  <c r="K55" i="11"/>
  <c r="K56" i="11"/>
  <c r="K57" i="11"/>
  <c r="K59" i="11"/>
  <c r="K60" i="11"/>
  <c r="K61" i="11"/>
  <c r="J4" i="11"/>
  <c r="J5" i="11"/>
  <c r="J7" i="11"/>
  <c r="J8" i="11"/>
  <c r="J9" i="11"/>
  <c r="J11" i="11"/>
  <c r="J12" i="11"/>
  <c r="J13" i="11"/>
  <c r="J15" i="11"/>
  <c r="J16" i="11"/>
  <c r="J17" i="11"/>
  <c r="J19" i="11"/>
  <c r="J20" i="11"/>
  <c r="J21" i="11"/>
  <c r="J23" i="11"/>
  <c r="J24" i="11"/>
  <c r="J25" i="11"/>
  <c r="J27" i="11"/>
  <c r="J28" i="11"/>
  <c r="J29" i="11"/>
  <c r="J31" i="11"/>
  <c r="J32" i="11"/>
  <c r="J33" i="11"/>
  <c r="J35" i="11"/>
  <c r="J36" i="11"/>
  <c r="J37" i="11"/>
  <c r="J39" i="11"/>
  <c r="J40" i="11"/>
  <c r="J41" i="11"/>
  <c r="J43" i="11"/>
  <c r="J44" i="11"/>
  <c r="J45" i="11"/>
  <c r="J47" i="11"/>
  <c r="J48" i="11"/>
  <c r="J49" i="11"/>
  <c r="J51" i="11"/>
  <c r="J52" i="11"/>
  <c r="J53" i="11"/>
  <c r="J55" i="11"/>
  <c r="J56" i="11"/>
  <c r="J57" i="11"/>
  <c r="J59" i="11"/>
  <c r="J60" i="11"/>
  <c r="J61" i="11"/>
  <c r="J3" i="11"/>
  <c r="I4" i="11"/>
  <c r="I5" i="11"/>
  <c r="I7" i="11"/>
  <c r="I8" i="11"/>
  <c r="I9" i="11"/>
  <c r="I11" i="11"/>
  <c r="I12" i="11"/>
  <c r="I13" i="11"/>
  <c r="I15" i="11"/>
  <c r="I16" i="11"/>
  <c r="I17" i="11"/>
  <c r="I19" i="11"/>
  <c r="I20" i="11"/>
  <c r="I21" i="11"/>
  <c r="I23" i="11"/>
  <c r="I24" i="11"/>
  <c r="I25" i="11"/>
  <c r="I27" i="11"/>
  <c r="I28" i="11"/>
  <c r="I29" i="11"/>
  <c r="I31" i="11"/>
  <c r="I32" i="11"/>
  <c r="I33" i="11"/>
  <c r="I35" i="11"/>
  <c r="I36" i="11"/>
  <c r="I37" i="11"/>
  <c r="I39" i="11"/>
  <c r="I40" i="11"/>
  <c r="I41" i="11"/>
  <c r="I43" i="11"/>
  <c r="I44" i="11"/>
  <c r="I45" i="11"/>
  <c r="I47" i="11"/>
  <c r="I48" i="11"/>
  <c r="I49" i="11"/>
  <c r="I51" i="11"/>
  <c r="I52" i="11"/>
  <c r="I53" i="11"/>
  <c r="I55" i="11"/>
  <c r="I56" i="11"/>
  <c r="I57" i="11"/>
  <c r="I59" i="11"/>
  <c r="I60" i="11"/>
  <c r="I61" i="11"/>
  <c r="I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3" i="11"/>
  <c r="G4" i="11"/>
  <c r="G5" i="11"/>
  <c r="G7" i="11"/>
  <c r="G8" i="11"/>
  <c r="G9" i="11"/>
  <c r="G11" i="11"/>
  <c r="G12" i="11"/>
  <c r="G13" i="11"/>
  <c r="G15" i="11"/>
  <c r="G16" i="11"/>
  <c r="G17" i="11"/>
  <c r="G19" i="11"/>
  <c r="G20" i="11"/>
  <c r="G21" i="11"/>
  <c r="G23" i="11"/>
  <c r="G24" i="11"/>
  <c r="G25" i="11"/>
  <c r="G27" i="11"/>
  <c r="G28" i="11"/>
  <c r="G29" i="11"/>
  <c r="G31" i="11"/>
  <c r="G32" i="11"/>
  <c r="G33" i="11"/>
  <c r="G35" i="11"/>
  <c r="G36" i="11"/>
  <c r="G37" i="11"/>
  <c r="G39" i="11"/>
  <c r="G40" i="11"/>
  <c r="G41" i="11"/>
  <c r="G43" i="11"/>
  <c r="G44" i="11"/>
  <c r="G45" i="11"/>
  <c r="G47" i="11"/>
  <c r="G48" i="11"/>
  <c r="G49" i="11"/>
  <c r="G51" i="11"/>
  <c r="G52" i="11"/>
  <c r="G53" i="11"/>
  <c r="G55" i="11"/>
  <c r="G56" i="11"/>
  <c r="G57" i="11"/>
  <c r="G59" i="11"/>
  <c r="G60" i="11"/>
  <c r="G61" i="11"/>
  <c r="G3" i="11"/>
  <c r="F4" i="11"/>
  <c r="F5" i="11"/>
  <c r="F7" i="11"/>
  <c r="F8" i="11"/>
  <c r="F9" i="11"/>
  <c r="F11" i="11"/>
  <c r="F12" i="11"/>
  <c r="F13" i="11"/>
  <c r="F15" i="11"/>
  <c r="F16" i="11"/>
  <c r="F17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3" i="11"/>
  <c r="E4" i="11"/>
  <c r="E7" i="11"/>
  <c r="E8" i="11"/>
  <c r="E13" i="11"/>
  <c r="E15" i="11"/>
  <c r="E16" i="11"/>
  <c r="E17" i="11"/>
  <c r="E19" i="11"/>
  <c r="E20" i="11"/>
  <c r="E32" i="11"/>
  <c r="E33" i="11"/>
  <c r="E35" i="11"/>
  <c r="E36" i="11"/>
  <c r="E37" i="11"/>
  <c r="E39" i="11"/>
  <c r="E40" i="11"/>
  <c r="E41" i="11"/>
  <c r="E43" i="11"/>
  <c r="E44" i="11"/>
  <c r="E45" i="11"/>
  <c r="E47" i="11"/>
  <c r="E48" i="11"/>
  <c r="E49" i="11"/>
  <c r="E51" i="11"/>
  <c r="E52" i="11"/>
  <c r="E53" i="11"/>
  <c r="E55" i="11"/>
  <c r="E56" i="11"/>
  <c r="E57" i="11"/>
  <c r="E59" i="11"/>
  <c r="E60" i="11"/>
  <c r="E61" i="11"/>
  <c r="E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3" i="11"/>
  <c r="C29" i="11" l="1"/>
  <c r="C25" i="11"/>
  <c r="C5" i="11"/>
  <c r="C1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<sst xmlns="http://schemas.openxmlformats.org/spreadsheetml/2006/main" count="3930" uniqueCount="157">
  <si>
    <t>U001</t>
  </si>
  <si>
    <t>A03</t>
  </si>
  <si>
    <t>NaN</t>
  </si>
  <si>
    <t>In Detection Range</t>
  </si>
  <si>
    <t>U011</t>
  </si>
  <si>
    <t>B03</t>
  </si>
  <si>
    <t>Below Detection Range</t>
  </si>
  <si>
    <t>U021</t>
  </si>
  <si>
    <t>C03</t>
  </si>
  <si>
    <t>U031</t>
  </si>
  <si>
    <t>D03</t>
  </si>
  <si>
    <t>U041</t>
  </si>
  <si>
    <t>E03</t>
  </si>
  <si>
    <t>U051</t>
  </si>
  <si>
    <t>F03</t>
  </si>
  <si>
    <t>U061</t>
  </si>
  <si>
    <t>G03</t>
  </si>
  <si>
    <t>U071</t>
  </si>
  <si>
    <t>H03</t>
  </si>
  <si>
    <t>Below Fit Curve Range</t>
  </si>
  <si>
    <t>U002</t>
  </si>
  <si>
    <t>A04</t>
  </si>
  <si>
    <t>U012</t>
  </si>
  <si>
    <t>B04</t>
  </si>
  <si>
    <t>U022</t>
  </si>
  <si>
    <t>C04</t>
  </si>
  <si>
    <t>U032</t>
  </si>
  <si>
    <t>D04</t>
  </si>
  <si>
    <t>U042</t>
  </si>
  <si>
    <t>E04</t>
  </si>
  <si>
    <t>U052</t>
  </si>
  <si>
    <t>F04</t>
  </si>
  <si>
    <t>U062</t>
  </si>
  <si>
    <t>G04</t>
  </si>
  <si>
    <t>U072</t>
  </si>
  <si>
    <t>H04</t>
  </si>
  <si>
    <t>U003</t>
  </si>
  <si>
    <t>A05</t>
  </si>
  <si>
    <t>U013</t>
  </si>
  <si>
    <t>B05</t>
  </si>
  <si>
    <t>U023</t>
  </si>
  <si>
    <t>C05</t>
  </si>
  <si>
    <t>U033</t>
  </si>
  <si>
    <t>D05</t>
  </si>
  <si>
    <t>U043</t>
  </si>
  <si>
    <t>E05</t>
  </si>
  <si>
    <t>U053</t>
  </si>
  <si>
    <t>F05</t>
  </si>
  <si>
    <t>U063</t>
  </si>
  <si>
    <t>G05</t>
  </si>
  <si>
    <t>U073</t>
  </si>
  <si>
    <t>H05</t>
  </si>
  <si>
    <t>U004</t>
  </si>
  <si>
    <t>A06</t>
  </si>
  <si>
    <t>U014</t>
  </si>
  <si>
    <t>B06</t>
  </si>
  <si>
    <t>U024</t>
  </si>
  <si>
    <t>C06</t>
  </si>
  <si>
    <t>U034</t>
  </si>
  <si>
    <t>D06</t>
  </si>
  <si>
    <t>U044</t>
  </si>
  <si>
    <t>E06</t>
  </si>
  <si>
    <t>U054</t>
  </si>
  <si>
    <t>F06</t>
  </si>
  <si>
    <t>U064</t>
  </si>
  <si>
    <t>G06</t>
  </si>
  <si>
    <t>U074</t>
  </si>
  <si>
    <t>H06</t>
  </si>
  <si>
    <t>U005</t>
  </si>
  <si>
    <t>A07</t>
  </si>
  <si>
    <t>U015</t>
  </si>
  <si>
    <t>B07</t>
  </si>
  <si>
    <t>U025</t>
  </si>
  <si>
    <t>C07</t>
  </si>
  <si>
    <t>U035</t>
  </si>
  <si>
    <t>D07</t>
  </si>
  <si>
    <t>U045</t>
  </si>
  <si>
    <t>E07</t>
  </si>
  <si>
    <t>U055</t>
  </si>
  <si>
    <t>F07</t>
  </si>
  <si>
    <t>U065</t>
  </si>
  <si>
    <t>G07</t>
  </si>
  <si>
    <t>U075</t>
  </si>
  <si>
    <t>H07</t>
  </si>
  <si>
    <t>U006</t>
  </si>
  <si>
    <t>A08</t>
  </si>
  <si>
    <t>U016</t>
  </si>
  <si>
    <t>B08</t>
  </si>
  <si>
    <t>U026</t>
  </si>
  <si>
    <t>C08</t>
  </si>
  <si>
    <t>U036</t>
  </si>
  <si>
    <t>D08</t>
  </si>
  <si>
    <t>U046</t>
  </si>
  <si>
    <t>E08</t>
  </si>
  <si>
    <t>U056</t>
  </si>
  <si>
    <t>F08</t>
  </si>
  <si>
    <t>U066</t>
  </si>
  <si>
    <t>G08</t>
  </si>
  <si>
    <t>U076</t>
  </si>
  <si>
    <t>H08</t>
  </si>
  <si>
    <t>U007</t>
  </si>
  <si>
    <t>A09</t>
  </si>
  <si>
    <t>U017</t>
  </si>
  <si>
    <t>B09</t>
  </si>
  <si>
    <t>U027</t>
  </si>
  <si>
    <t>C09</t>
  </si>
  <si>
    <t>U037</t>
  </si>
  <si>
    <t>D09</t>
  </si>
  <si>
    <t>U047</t>
  </si>
  <si>
    <t>E09</t>
  </si>
  <si>
    <t>U057</t>
  </si>
  <si>
    <t>F09</t>
  </si>
  <si>
    <t>U067</t>
  </si>
  <si>
    <t>G09</t>
  </si>
  <si>
    <t>U077</t>
  </si>
  <si>
    <t>H09</t>
  </si>
  <si>
    <t>U008</t>
  </si>
  <si>
    <t>A10</t>
  </si>
  <si>
    <t>U018</t>
  </si>
  <si>
    <t>B10</t>
  </si>
  <si>
    <t>U028</t>
  </si>
  <si>
    <t>C10</t>
  </si>
  <si>
    <t xml:space="preserve">Sample </t>
  </si>
  <si>
    <t>CV</t>
  </si>
  <si>
    <t>Detection range</t>
  </si>
  <si>
    <t>Well</t>
  </si>
  <si>
    <t>Signal</t>
  </si>
  <si>
    <t>Mean</t>
  </si>
  <si>
    <t>Calc conc. (pg/ml)</t>
  </si>
  <si>
    <t xml:space="preserve">Calc conc. mean </t>
  </si>
  <si>
    <t>Calc conc CV</t>
  </si>
  <si>
    <t>Serum</t>
  </si>
  <si>
    <t>Illeum</t>
  </si>
  <si>
    <t>Tissue</t>
  </si>
  <si>
    <t>SampleID</t>
  </si>
  <si>
    <t>Undilute</t>
  </si>
  <si>
    <t>Fortynding</t>
  </si>
  <si>
    <t>Tissue_weight</t>
  </si>
  <si>
    <t>tissue_weight_mg</t>
  </si>
  <si>
    <t>serum</t>
  </si>
  <si>
    <t>INFg</t>
  </si>
  <si>
    <t>KCGRO</t>
  </si>
  <si>
    <t>TNFa</t>
  </si>
  <si>
    <t>sample</t>
  </si>
  <si>
    <t>AB-BF</t>
  </si>
  <si>
    <t>CON-BF</t>
  </si>
  <si>
    <t>group</t>
  </si>
  <si>
    <t>AB-FF</t>
  </si>
  <si>
    <t>CON-FF</t>
  </si>
  <si>
    <t>IL_10</t>
  </si>
  <si>
    <t>IL_12p70</t>
  </si>
  <si>
    <t>IL_1b</t>
  </si>
  <si>
    <t>IL_2</t>
  </si>
  <si>
    <t>IL_4</t>
  </si>
  <si>
    <t>IL_5</t>
  </si>
  <si>
    <t>IL_6</t>
  </si>
  <si>
    <t>tissue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</si>
</sst>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/>
    <xf numFmtId="0" fontId="2" fillId="2" borderId="0" xfId="0" applyFont="1" applyFill="1"/>
    <xf numFmtId="0" fontId="0" fillId="2" borderId="0" xfId="0" applyFill="1" applyAlignment="1">
      <alignment vertical="center" wrapText="1"/>
    </xf>
    <xf numFmtId="0" fontId="0" fillId="2" borderId="0" xfId="0" applyFill="1"/>
    <xf numFmtId="0" fontId="4" fillId="0" borderId="0" xfId="0" applyFont="1"/>
    <xf numFmtId="0" fontId="3" fillId="0" borderId="1" xfId="0" applyFont="1" applyBorder="1"/>
    <xf numFmtId="0" fontId="3" fillId="0" borderId="0" xfId="0" applyFont="1"/>
    <xf numFmtId="0" fontId="1" fillId="3" borderId="2" xfId="0" applyFont="1" applyFill="1" applyBorder="1"/>
    <xf numFmtId="0" fontId="1" fillId="0" borderId="0" xfId="0" applyFont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5DA4B-F385-A648-AA61-A83DEEB14FA4}">
  <dimension ref="A1:V61"/>
  <sheetViews>
    <sheetView tabSelected="1" workbookViewId="0">
      <selection activeCell="G15" sqref="G15"/>
    </sheetView>
  </sheetViews>
  <sheetFormatPr baseColWidth="10" defaultRowHeight="15" x14ac:dyDescent="0.2"/>
  <cols>
    <col min="2" max="2" width="8.83203125"/>
    <col min="3" max="5" width="11.6640625" bestFit="1" customWidth="1"/>
  </cols>
  <sheetData>
    <row r="1" spans="1:22" ht="16" x14ac:dyDescent="0.2">
      <c r="A1" s="2" t="s">
        <v>146</v>
      </c>
      <c r="B1" s="2" t="s">
        <v>143</v>
      </c>
      <c r="C1" s="2" t="s">
        <v>140</v>
      </c>
      <c r="D1" s="2" t="s">
        <v>149</v>
      </c>
      <c r="E1" s="2" t="s">
        <v>150</v>
      </c>
      <c r="F1" s="2" t="s">
        <v>151</v>
      </c>
      <c r="G1" s="2" t="s">
        <v>152</v>
      </c>
      <c r="H1" s="2" t="s">
        <v>153</v>
      </c>
      <c r="I1" s="2" t="s">
        <v>154</v>
      </c>
      <c r="J1" s="2" t="s">
        <v>155</v>
      </c>
      <c r="K1" s="2" t="s">
        <v>141</v>
      </c>
      <c r="L1" s="2" t="s">
        <v>142</v>
      </c>
      <c r="M1" s="2" t="s">
        <v>156</v>
      </c>
      <c r="N1" s="7" t="s">
        <v>138</v>
      </c>
      <c r="O1" s="2"/>
      <c r="P1" s="2"/>
      <c r="Q1" s="2"/>
      <c r="R1" s="2"/>
      <c r="S1" s="2"/>
      <c r="T1" s="2"/>
      <c r="U1" s="2"/>
      <c r="V1" s="2"/>
    </row>
    <row r="2" spans="1:22" ht="16" x14ac:dyDescent="0.2">
      <c r="A2" s="9" t="s">
        <v>144</v>
      </c>
      <c r="B2">
        <v>3</v>
      </c>
      <c r="C2" s="2"/>
      <c r="D2" s="2"/>
      <c r="E2" s="2"/>
      <c r="F2" s="2"/>
      <c r="G2" s="2"/>
      <c r="H2" s="2"/>
      <c r="I2" s="2"/>
      <c r="J2" s="2"/>
      <c r="K2" s="2"/>
      <c r="L2" s="2"/>
      <c r="M2" t="s">
        <v>139</v>
      </c>
      <c r="N2" s="8"/>
      <c r="O2" s="2"/>
      <c r="P2" s="2"/>
      <c r="Q2" s="2"/>
      <c r="R2" s="2"/>
      <c r="S2" s="2"/>
      <c r="T2" s="2"/>
      <c r="U2" s="2"/>
      <c r="V2" s="2"/>
    </row>
    <row r="3" spans="1:22" ht="16" x14ac:dyDescent="0.2">
      <c r="A3" s="10" t="s">
        <v>144</v>
      </c>
      <c r="B3" s="1">
        <v>4</v>
      </c>
      <c r="C3" s="1">
        <f>IFNg!I2</f>
        <v>2.3430182456414799</v>
      </c>
      <c r="D3" s="1">
        <f>'IL-10'!I2</f>
        <v>28.070635170673398</v>
      </c>
      <c r="E3" s="1">
        <f>'IL-12p70'!I2</f>
        <v>43.120795664756201</v>
      </c>
      <c r="F3">
        <f>'IL-1b'!I2</f>
        <v>5.6064962371081402</v>
      </c>
      <c r="G3">
        <f>'IL-2'!I2</f>
        <v>6.25510581692782</v>
      </c>
      <c r="H3">
        <f>'IL-4'!I2</f>
        <v>1.920792824735128</v>
      </c>
      <c r="I3">
        <f>'IL-5'!I2</f>
        <v>16.885170518167001</v>
      </c>
      <c r="J3">
        <f>'IL-6'!I2</f>
        <v>639.81401949823601</v>
      </c>
      <c r="K3">
        <f>KCGRO!I2</f>
        <v>164.9617316181816</v>
      </c>
      <c r="L3">
        <f>TNFa!I2</f>
        <v>15.7236255728112</v>
      </c>
      <c r="M3" s="1" t="s">
        <v>131</v>
      </c>
    </row>
    <row r="4" spans="1:22" ht="16" x14ac:dyDescent="0.2">
      <c r="A4" s="11" t="s">
        <v>144</v>
      </c>
      <c r="B4" s="1">
        <v>5</v>
      </c>
      <c r="C4" s="1">
        <f>IFNg!I3</f>
        <v>0.70591110540191204</v>
      </c>
      <c r="D4" s="1">
        <f>'IL-10'!I3</f>
        <v>64.475405509383194</v>
      </c>
      <c r="E4" s="1">
        <f>'IL-12p70'!I3</f>
        <v>41.046555617766401</v>
      </c>
      <c r="F4">
        <f>'IL-1b'!I3</f>
        <v>11.60628811036964</v>
      </c>
      <c r="G4">
        <f>'IL-2'!I3</f>
        <v>8.2114785694630399</v>
      </c>
      <c r="H4">
        <f>'IL-4'!I3</f>
        <v>2.4695121209973161</v>
      </c>
      <c r="I4">
        <f>'IL-5'!I3</f>
        <v>22.985249584019918</v>
      </c>
      <c r="J4">
        <f>'IL-6'!I3</f>
        <v>2309.3629932061081</v>
      </c>
      <c r="K4">
        <f>KCGRO!I3</f>
        <v>420.14710610060399</v>
      </c>
      <c r="L4">
        <f>TNFa!I3</f>
        <v>45.278133454193203</v>
      </c>
      <c r="M4" s="1" t="s">
        <v>131</v>
      </c>
    </row>
    <row r="5" spans="1:22" ht="16" x14ac:dyDescent="0.2">
      <c r="A5" s="10" t="s">
        <v>144</v>
      </c>
      <c r="B5" s="1">
        <v>6</v>
      </c>
      <c r="C5" s="1">
        <f>IFNg!I4</f>
        <v>1.8287613782249201E-2</v>
      </c>
      <c r="D5" s="1">
        <f>'IL-10'!I4</f>
        <v>12.67926936740856</v>
      </c>
      <c r="E5" s="1"/>
      <c r="F5">
        <f>'IL-1b'!I4</f>
        <v>11.60628811036964</v>
      </c>
      <c r="G5">
        <f>'IL-2'!I4</f>
        <v>4.2820755120091603</v>
      </c>
      <c r="H5">
        <f>'IL-4'!I4</f>
        <v>0.98439011831682799</v>
      </c>
      <c r="I5">
        <f>'IL-5'!I4</f>
        <v>9.9804102139848005</v>
      </c>
      <c r="J5">
        <f>'IL-6'!I4</f>
        <v>1714.703301894988</v>
      </c>
      <c r="K5">
        <f>KCGRO!I4</f>
        <v>199.1660591212044</v>
      </c>
      <c r="L5">
        <f>TNFa!I4</f>
        <v>25.881303685704161</v>
      </c>
      <c r="M5" s="1" t="s">
        <v>131</v>
      </c>
    </row>
    <row r="6" spans="1:22" ht="16" x14ac:dyDescent="0.2">
      <c r="A6" s="11" t="s">
        <v>144</v>
      </c>
      <c r="B6" s="1">
        <v>7</v>
      </c>
      <c r="C6" s="1">
        <f>IFNg!I5</f>
        <v>0.38981814107479401</v>
      </c>
      <c r="D6" s="1">
        <f>'IL-10'!I5</f>
        <v>24.061877548210759</v>
      </c>
      <c r="E6" s="1"/>
      <c r="F6">
        <f>'IL-1b'!I5</f>
        <v>12.31183017487896</v>
      </c>
      <c r="G6">
        <f>'IL-2'!I5</f>
        <v>4.8276144838798798</v>
      </c>
      <c r="H6">
        <f>'IL-4'!I5</f>
        <v>1.0629478105038519</v>
      </c>
      <c r="I6">
        <f>'IL-5'!I5</f>
        <v>15.77548934690016</v>
      </c>
      <c r="J6">
        <f>'IL-6'!I5</f>
        <v>434.02218746868402</v>
      </c>
      <c r="K6">
        <f>KCGRO!I5</f>
        <v>139.13651015747999</v>
      </c>
      <c r="L6">
        <f>TNFa!I5</f>
        <v>29.036818548423799</v>
      </c>
      <c r="M6" s="1" t="s">
        <v>131</v>
      </c>
    </row>
    <row r="7" spans="1:22" ht="16" x14ac:dyDescent="0.2">
      <c r="A7" s="10" t="s">
        <v>144</v>
      </c>
      <c r="B7" s="1">
        <v>8</v>
      </c>
      <c r="C7" s="1">
        <f>IFNg!I6</f>
        <v>0.12525761114230519</v>
      </c>
      <c r="D7" s="1">
        <f>'IL-10'!I6</f>
        <v>27.78827043272732</v>
      </c>
      <c r="E7" s="1">
        <f>'IL-12p70'!I6</f>
        <v>16.640974402092478</v>
      </c>
      <c r="F7">
        <f>'IL-1b'!I6</f>
        <v>14.352313902086481</v>
      </c>
      <c r="G7">
        <f>'IL-2'!I6</f>
        <v>3.3810923510987521</v>
      </c>
      <c r="H7">
        <f>'IL-4'!I6</f>
        <v>1.03676873601056</v>
      </c>
      <c r="I7">
        <f>'IL-5'!I6</f>
        <v>7.7899712460484798</v>
      </c>
      <c r="J7">
        <f>'IL-6'!I6</f>
        <v>3007.5088437140562</v>
      </c>
      <c r="K7">
        <f>KCGRO!I6</f>
        <v>257.38882190030279</v>
      </c>
      <c r="L7">
        <f>TNFa!I6</f>
        <v>36.558426408855439</v>
      </c>
      <c r="M7" s="1" t="s">
        <v>131</v>
      </c>
    </row>
    <row r="8" spans="1:22" ht="16" x14ac:dyDescent="0.2">
      <c r="A8" s="11" t="s">
        <v>144</v>
      </c>
      <c r="B8" s="1">
        <v>9</v>
      </c>
      <c r="C8" s="1">
        <f>IFNg!I7</f>
        <v>2.0376583876409402</v>
      </c>
      <c r="D8" s="1">
        <f>'IL-10'!I7</f>
        <v>26.436309410207478</v>
      </c>
      <c r="E8" s="1">
        <f>'IL-12p70'!I7</f>
        <v>44.144821713598397</v>
      </c>
      <c r="F8">
        <f>'IL-1b'!I7</f>
        <v>6.8497645195719201</v>
      </c>
      <c r="G8">
        <f>'IL-2'!I7</f>
        <v>6.6650188440315201</v>
      </c>
      <c r="H8">
        <f>'IL-4'!I7</f>
        <v>2.0409154220247561</v>
      </c>
      <c r="I8">
        <f>'IL-5'!I7</f>
        <v>26.13079631055048</v>
      </c>
      <c r="J8">
        <f>'IL-6'!I7</f>
        <v>2226.151692827656</v>
      </c>
      <c r="K8">
        <f>KCGRO!I7</f>
        <v>419.04262041990398</v>
      </c>
      <c r="L8">
        <f>TNFa!I7</f>
        <v>22.514225831411679</v>
      </c>
      <c r="M8" s="1" t="s">
        <v>131</v>
      </c>
    </row>
    <row r="9" spans="1:22" ht="16" x14ac:dyDescent="0.2">
      <c r="A9" s="10" t="s">
        <v>144</v>
      </c>
      <c r="B9" s="1">
        <v>10</v>
      </c>
      <c r="C9" s="1">
        <f>IFNg!I8</f>
        <v>0.17439574837840341</v>
      </c>
      <c r="D9" s="1">
        <f>'IL-10'!I8</f>
        <v>23.608302270420641</v>
      </c>
      <c r="E9" s="1"/>
      <c r="F9">
        <f>'IL-1b'!I8</f>
        <v>25.828683145536878</v>
      </c>
      <c r="G9">
        <f>'IL-2'!I8</f>
        <v>5.6644600647426797</v>
      </c>
      <c r="H9">
        <f>'IL-4'!I8</f>
        <v>0.45867394422294799</v>
      </c>
      <c r="I9">
        <f>'IL-5'!I8</f>
        <v>9.3238239118126796</v>
      </c>
      <c r="J9">
        <f>'IL-6'!I8</f>
        <v>1954.6423889868961</v>
      </c>
      <c r="K9">
        <f>KCGRO!I8</f>
        <v>227.95744143500079</v>
      </c>
      <c r="L9">
        <f>TNFa!I8</f>
        <v>31.037838512830561</v>
      </c>
      <c r="M9" s="1" t="s">
        <v>131</v>
      </c>
    </row>
    <row r="10" spans="1:22" ht="16" x14ac:dyDescent="0.2">
      <c r="A10" s="11" t="s">
        <v>147</v>
      </c>
      <c r="B10" s="1">
        <v>11</v>
      </c>
      <c r="C10" s="1"/>
      <c r="D10" s="1">
        <f>'IL-10'!I9</f>
        <v>0.52657498260778002</v>
      </c>
      <c r="E10" s="1">
        <f>'IL-12p70'!I9</f>
        <v>2.74736399439184</v>
      </c>
      <c r="F10">
        <f>'IL-1b'!I9</f>
        <v>1.4389021200437</v>
      </c>
      <c r="G10">
        <f>'IL-2'!I9</f>
        <v>1.4553142299284521</v>
      </c>
      <c r="H10">
        <f>'IL-4'!I9</f>
        <v>0.59050492578762004</v>
      </c>
      <c r="I10">
        <f>'IL-5'!I9</f>
        <v>0.1634842542159084</v>
      </c>
      <c r="K10">
        <f>KCGRO!I9</f>
        <v>1.0846929709992761</v>
      </c>
      <c r="L10">
        <f>TNFa!I9</f>
        <v>1.4478776906705519</v>
      </c>
      <c r="M10" s="1" t="s">
        <v>131</v>
      </c>
    </row>
    <row r="11" spans="1:22" ht="16" x14ac:dyDescent="0.2">
      <c r="A11" s="11" t="s">
        <v>147</v>
      </c>
      <c r="B11" s="1">
        <v>12</v>
      </c>
      <c r="C11" s="1">
        <f>IFNg!I10</f>
        <v>1.1416929087171319</v>
      </c>
      <c r="D11" s="1">
        <f>'IL-10'!I10</f>
        <v>9.7938777962142805</v>
      </c>
      <c r="E11" s="1"/>
      <c r="F11">
        <f>'IL-1b'!I10</f>
        <v>7.9837059578550402</v>
      </c>
      <c r="G11">
        <f>'IL-2'!I10</f>
        <v>2.2359287153131242</v>
      </c>
      <c r="H11">
        <f>'IL-4'!I10</f>
        <v>0.35293163412368922</v>
      </c>
      <c r="I11">
        <f>'IL-5'!I10</f>
        <v>6.9744766346858</v>
      </c>
      <c r="J11">
        <f>'IL-6'!I10</f>
        <v>1852.0696118182721</v>
      </c>
      <c r="K11">
        <f>KCGRO!I10</f>
        <v>248.5080075703568</v>
      </c>
      <c r="L11">
        <f>TNFa!I10</f>
        <v>40.686552582468003</v>
      </c>
      <c r="M11" s="1" t="s">
        <v>131</v>
      </c>
    </row>
    <row r="12" spans="1:22" ht="16" x14ac:dyDescent="0.2">
      <c r="A12" s="11" t="s">
        <v>147</v>
      </c>
      <c r="B12" s="1">
        <v>13</v>
      </c>
      <c r="C12" s="1"/>
      <c r="D12" s="1">
        <f>'IL-10'!I11</f>
        <v>2.2332153941437518</v>
      </c>
      <c r="E12" s="1"/>
      <c r="F12">
        <f>'IL-1b'!I11</f>
        <v>1.687569840075432</v>
      </c>
      <c r="G12">
        <f>'IL-2'!I11</f>
        <v>1.9257617496907</v>
      </c>
      <c r="H12">
        <f>'IL-4'!I11</f>
        <v>1.1022041111316681</v>
      </c>
      <c r="I12">
        <f>'IL-5'!I11</f>
        <v>0.79649584832651998</v>
      </c>
      <c r="J12">
        <f>'IL-6'!I11</f>
        <v>5.4827090077141198</v>
      </c>
      <c r="K12">
        <f>KCGRO!I11</f>
        <v>0.68113030036998401</v>
      </c>
      <c r="L12">
        <f>TNFa!I11</f>
        <v>0.66851826969364003</v>
      </c>
      <c r="M12" s="1" t="s">
        <v>131</v>
      </c>
    </row>
    <row r="13" spans="1:22" ht="16" x14ac:dyDescent="0.2">
      <c r="A13" s="11" t="s">
        <v>147</v>
      </c>
      <c r="B13" s="1">
        <v>14</v>
      </c>
      <c r="C13" s="1">
        <f>IFNg!I12</f>
        <v>0.30716218172720799</v>
      </c>
      <c r="D13" s="1">
        <f>'IL-10'!I12</f>
        <v>31.09817770242924</v>
      </c>
      <c r="E13" s="1">
        <f>'IL-12p70'!I12</f>
        <v>7.1254149873162804</v>
      </c>
      <c r="F13">
        <f>'IL-1b'!I12</f>
        <v>15.02876799528984</v>
      </c>
      <c r="G13">
        <f>'IL-2'!I12</f>
        <v>4.4560343897949597</v>
      </c>
      <c r="H13">
        <f>'IL-4'!I12</f>
        <v>1.0236766733563281</v>
      </c>
      <c r="I13">
        <f>'IL-5'!I12</f>
        <v>12.80929613061668</v>
      </c>
      <c r="J13">
        <f>'IL-6'!I12</f>
        <v>1889.2013594750799</v>
      </c>
      <c r="K13">
        <f>KCGRO!I12</f>
        <v>400.67791817878799</v>
      </c>
      <c r="L13">
        <f>TNFa!I12</f>
        <v>28.689976801422919</v>
      </c>
      <c r="M13" s="1" t="s">
        <v>131</v>
      </c>
    </row>
    <row r="14" spans="1:22" ht="16" x14ac:dyDescent="0.2">
      <c r="A14" s="11" t="s">
        <v>147</v>
      </c>
      <c r="B14" s="1">
        <v>15</v>
      </c>
      <c r="C14" s="1">
        <f>IFNg!I13</f>
        <v>9.1401158565420804E-2</v>
      </c>
      <c r="D14" s="1">
        <f>'IL-10'!I13</f>
        <v>27.000038393446161</v>
      </c>
      <c r="E14" s="1"/>
      <c r="F14">
        <f>'IL-1b'!I13</f>
        <v>19.436049537167602</v>
      </c>
      <c r="G14">
        <f>'IL-2'!I13</f>
        <v>4.1575906521118799</v>
      </c>
      <c r="H14">
        <f>'IL-4'!I13</f>
        <v>0.722033003449708</v>
      </c>
      <c r="I14">
        <f>'IL-5'!I13</f>
        <v>9.5214048039900003</v>
      </c>
      <c r="J14">
        <f>'IL-6'!I13</f>
        <v>1673.99309428478</v>
      </c>
      <c r="K14">
        <f>KCGRO!I13</f>
        <v>266.00840619324879</v>
      </c>
      <c r="L14">
        <f>TNFa!I13</f>
        <v>26.0234220980538</v>
      </c>
      <c r="M14" s="1" t="s">
        <v>131</v>
      </c>
    </row>
    <row r="15" spans="1:22" ht="16" x14ac:dyDescent="0.2">
      <c r="A15" s="11" t="s">
        <v>147</v>
      </c>
      <c r="B15" s="1">
        <v>16</v>
      </c>
      <c r="C15" s="1">
        <f>IFNg!I14</f>
        <v>0.382383497598138</v>
      </c>
      <c r="D15" s="1">
        <f>'IL-10'!I14</f>
        <v>37.223567717354719</v>
      </c>
      <c r="E15" s="1">
        <f>'IL-12p70'!I14</f>
        <v>23.622558998248319</v>
      </c>
      <c r="F15">
        <f>'IL-1b'!I14</f>
        <v>4.6938391735713196</v>
      </c>
      <c r="G15">
        <f>'IL-2'!I14</f>
        <v>4.1326701813197602</v>
      </c>
      <c r="H15">
        <f>'IL-4'!I14</f>
        <v>1.259091190899968</v>
      </c>
      <c r="I15">
        <f>'IL-5'!I14</f>
        <v>9.1587624434830399</v>
      </c>
      <c r="J15">
        <f>'IL-6'!I14</f>
        <v>877.03270227635198</v>
      </c>
      <c r="K15">
        <f>KCGRO!I14</f>
        <v>302.30127653335961</v>
      </c>
      <c r="L15">
        <f>TNFa!I14</f>
        <v>28.7057437070386</v>
      </c>
      <c r="M15" s="1" t="s">
        <v>131</v>
      </c>
    </row>
    <row r="16" spans="1:22" ht="16" x14ac:dyDescent="0.2">
      <c r="A16" s="11" t="s">
        <v>147</v>
      </c>
      <c r="B16" s="1">
        <v>17</v>
      </c>
      <c r="C16" s="1">
        <f>IFNg!I15</f>
        <v>0.37493411712777802</v>
      </c>
      <c r="D16" s="1">
        <f>'IL-10'!I15</f>
        <v>36.967283877574403</v>
      </c>
      <c r="E16" s="1">
        <f>'IL-12p70'!I15</f>
        <v>1.95390202159732</v>
      </c>
      <c r="F16">
        <f>'IL-1b'!I15</f>
        <v>1.7331556312965719</v>
      </c>
      <c r="G16">
        <f>'IL-2'!I15</f>
        <v>2.4755664809811999</v>
      </c>
      <c r="H16">
        <f>'IL-4'!I15</f>
        <v>0.28208261730697198</v>
      </c>
      <c r="I16">
        <f>'IL-5'!I15</f>
        <v>7.3303325200021803</v>
      </c>
      <c r="J16">
        <f>'IL-6'!I15</f>
        <v>6.2820251863996202</v>
      </c>
      <c r="K16">
        <f>KCGRO!I15</f>
        <v>84.480372535433204</v>
      </c>
      <c r="L16">
        <f>TNFa!I15</f>
        <v>12.182312301366281</v>
      </c>
      <c r="M16" s="1" t="s">
        <v>131</v>
      </c>
    </row>
    <row r="17" spans="1:14" ht="16" x14ac:dyDescent="0.2">
      <c r="A17" s="11" t="s">
        <v>147</v>
      </c>
      <c r="B17" s="1">
        <v>18</v>
      </c>
      <c r="C17" s="1">
        <f>IFNg!I16</f>
        <v>1.592950554981216</v>
      </c>
      <c r="D17" s="1">
        <f>'IL-10'!I16</f>
        <v>41.639977264448802</v>
      </c>
      <c r="E17" s="1">
        <f>'IL-12p70'!I16</f>
        <v>3.3042001317466601</v>
      </c>
      <c r="F17">
        <f>'IL-1b'!I16</f>
        <v>1.9000455308336139</v>
      </c>
      <c r="G17">
        <f>'IL-2'!I16</f>
        <v>2.2280171948974798</v>
      </c>
      <c r="H17">
        <f>'IL-4'!I16</f>
        <v>0.57072305727567996</v>
      </c>
      <c r="I17">
        <f>'IL-5'!I16</f>
        <v>9.78677676582606</v>
      </c>
      <c r="J17">
        <f>'IL-6'!I16</f>
        <v>7.0364670896522004</v>
      </c>
      <c r="K17">
        <f>KCGRO!I16</f>
        <v>87.518981676868805</v>
      </c>
      <c r="L17">
        <f>TNFa!I16</f>
        <v>11.38370188776662</v>
      </c>
      <c r="M17" s="1" t="s">
        <v>131</v>
      </c>
    </row>
    <row r="18" spans="1:14" ht="16" x14ac:dyDescent="0.2">
      <c r="A18" s="11" t="s">
        <v>147</v>
      </c>
      <c r="B18" s="1">
        <v>19</v>
      </c>
      <c r="C18" s="1">
        <f>IFNg!I17</f>
        <v>0.53584944776696997</v>
      </c>
      <c r="D18" s="1">
        <f>'IL-10'!I17</f>
        <v>41.400334838497002</v>
      </c>
      <c r="E18" s="1">
        <f>'IL-12p70'!I17</f>
        <v>8.7680109416734808</v>
      </c>
      <c r="F18">
        <f>'IL-1b'!I17</f>
        <v>1.804629803857136</v>
      </c>
      <c r="G18">
        <f>'IL-2'!I17</f>
        <v>3.0890075931952401</v>
      </c>
      <c r="H18">
        <f>'IL-4'!I17</f>
        <v>0.88385086335379603</v>
      </c>
      <c r="I18">
        <f>'IL-5'!I17</f>
        <v>10.13081302335128</v>
      </c>
      <c r="J18">
        <f>'IL-6'!I17</f>
        <v>13.06476654936168</v>
      </c>
      <c r="K18">
        <f>KCGRO!I17</f>
        <v>88.891398439236596</v>
      </c>
      <c r="L18">
        <f>TNFa!I17</f>
        <v>13.77720503364942</v>
      </c>
      <c r="M18" s="1" t="s">
        <v>131</v>
      </c>
    </row>
    <row r="19" spans="1:14" ht="16" x14ac:dyDescent="0.2">
      <c r="A19" s="11" t="s">
        <v>147</v>
      </c>
      <c r="B19" s="1">
        <v>20</v>
      </c>
      <c r="C19" s="1">
        <f>IFNg!I18</f>
        <v>0.55737840038634801</v>
      </c>
      <c r="D19" s="1">
        <f>'IL-10'!I18</f>
        <v>43.979566883059398</v>
      </c>
      <c r="E19" s="1">
        <f>'IL-12p70'!I18</f>
        <v>5.3020128396501196</v>
      </c>
      <c r="F19">
        <f>'IL-1b'!I18</f>
        <v>2.6033301465538998</v>
      </c>
      <c r="G19">
        <f>'IL-2'!I18</f>
        <v>4.6327906572574404</v>
      </c>
      <c r="H19">
        <f>'IL-4'!I18</f>
        <v>0.68178492221888798</v>
      </c>
      <c r="I19">
        <f>'IL-5'!I18</f>
        <v>14.34330768629866</v>
      </c>
      <c r="J19">
        <f>'IL-6'!I18</f>
        <v>13.224416462869399</v>
      </c>
      <c r="K19">
        <f>KCGRO!I18</f>
        <v>119.35485148945099</v>
      </c>
      <c r="L19">
        <f>TNFa!I18</f>
        <v>20.170743080889</v>
      </c>
      <c r="M19" s="1" t="s">
        <v>131</v>
      </c>
    </row>
    <row r="20" spans="1:14" ht="16" x14ac:dyDescent="0.2">
      <c r="A20" s="11" t="s">
        <v>147</v>
      </c>
      <c r="B20" s="1">
        <v>21</v>
      </c>
      <c r="C20" s="1">
        <f>IFNg!I19</f>
        <v>0.74773904643902001</v>
      </c>
      <c r="D20" s="1">
        <f>'IL-10'!I19</f>
        <v>38.839723620451601</v>
      </c>
      <c r="E20" s="1">
        <f>'IL-12p70'!I19</f>
        <v>7.4136095974672802</v>
      </c>
      <c r="F20">
        <f>'IL-1b'!I19</f>
        <v>1.7331556312965719</v>
      </c>
      <c r="G20">
        <f>'IL-2'!I19</f>
        <v>3.9734320572488002</v>
      </c>
      <c r="H20">
        <f>'IL-4'!I19</f>
        <v>0.66872905562098195</v>
      </c>
      <c r="I20">
        <f>'IL-5'!I19</f>
        <v>17.20629176117458</v>
      </c>
      <c r="J20">
        <f>'IL-6'!I19</f>
        <v>20.829008972005798</v>
      </c>
      <c r="K20">
        <f>KCGRO!I19</f>
        <v>109.5121941643732</v>
      </c>
      <c r="L20">
        <f>TNFa!I19</f>
        <v>16.329636617350118</v>
      </c>
      <c r="M20" s="1" t="s">
        <v>131</v>
      </c>
    </row>
    <row r="21" spans="1:14" ht="16" x14ac:dyDescent="0.2">
      <c r="A21" s="11" t="s">
        <v>145</v>
      </c>
      <c r="B21" s="1">
        <v>22</v>
      </c>
      <c r="C21" s="1"/>
      <c r="D21" s="1">
        <f>'IL-10'!I20</f>
        <v>17.167397826244141</v>
      </c>
      <c r="E21" s="1"/>
      <c r="F21">
        <f>'IL-1b'!I20</f>
        <v>0.99206280512893996</v>
      </c>
      <c r="G21">
        <f>'IL-2'!I20</f>
        <v>1.6148835182026799</v>
      </c>
      <c r="H21">
        <f>'IL-4'!I20</f>
        <v>0.1034849674928638</v>
      </c>
      <c r="I21">
        <f>'IL-5'!I20</f>
        <v>3.7766506114420801</v>
      </c>
      <c r="J21">
        <f>'IL-6'!I20</f>
        <v>32.219389496683597</v>
      </c>
      <c r="K21">
        <f>KCGRO!I20</f>
        <v>70.121307600851793</v>
      </c>
      <c r="L21">
        <f>TNFa!I20</f>
        <v>6.1324096973440003</v>
      </c>
      <c r="M21" s="1" t="s">
        <v>131</v>
      </c>
    </row>
    <row r="22" spans="1:14" ht="16" x14ac:dyDescent="0.2">
      <c r="A22" s="11" t="s">
        <v>145</v>
      </c>
      <c r="B22" s="1">
        <v>23</v>
      </c>
      <c r="C22" s="1">
        <f>IFNg!I21</f>
        <v>2.1065915361540601</v>
      </c>
      <c r="D22" s="1">
        <f>'IL-10'!I21</f>
        <v>33.153942098231802</v>
      </c>
      <c r="E22" s="1"/>
      <c r="F22">
        <f>'IL-1b'!I21</f>
        <v>1.313955668986446</v>
      </c>
      <c r="G22">
        <f>'IL-2'!I21</f>
        <v>2.5002472508653</v>
      </c>
      <c r="H22">
        <f>'IL-4'!I21</f>
        <v>0.40041449777031801</v>
      </c>
      <c r="I22">
        <f>'IL-5'!I21</f>
        <v>9.4411820870525798</v>
      </c>
      <c r="J22">
        <f>'IL-6'!I21</f>
        <v>51.908630352337802</v>
      </c>
      <c r="K22">
        <f>KCGRO!I21</f>
        <v>153.89468108047041</v>
      </c>
      <c r="L22">
        <f>TNFa!I21</f>
        <v>10.774292374146061</v>
      </c>
      <c r="M22" s="1" t="s">
        <v>131</v>
      </c>
    </row>
    <row r="23" spans="1:14" ht="16" x14ac:dyDescent="0.2">
      <c r="A23" s="11" t="s">
        <v>145</v>
      </c>
      <c r="B23" s="1">
        <v>24</v>
      </c>
      <c r="C23" s="1">
        <f>IFNg!I22</f>
        <v>2.4541528809143598</v>
      </c>
      <c r="D23" s="1">
        <f>'IL-10'!I22</f>
        <v>54.566588733371603</v>
      </c>
      <c r="E23" s="1"/>
      <c r="F23">
        <f>'IL-1b'!I22</f>
        <v>1.0311852573331199</v>
      </c>
      <c r="G23">
        <f>'IL-2'!I22</f>
        <v>2.6726594423705201</v>
      </c>
      <c r="H23">
        <f>'IL-4'!I22</f>
        <v>0.387286440604516</v>
      </c>
      <c r="I23">
        <f>'IL-5'!I22</f>
        <v>11.139465141833201</v>
      </c>
      <c r="J23">
        <f>'IL-6'!I22</f>
        <v>28.234293760908599</v>
      </c>
      <c r="K23">
        <f>KCGRO!I22</f>
        <v>107.0035475873112</v>
      </c>
      <c r="L23">
        <f>TNFa!I22</f>
        <v>16.431916237505639</v>
      </c>
      <c r="M23" s="1" t="s">
        <v>131</v>
      </c>
    </row>
    <row r="24" spans="1:14" ht="16" x14ac:dyDescent="0.2">
      <c r="A24" s="11" t="s">
        <v>145</v>
      </c>
      <c r="B24" s="1">
        <v>25</v>
      </c>
      <c r="C24" s="1">
        <f>IFNg!I23</f>
        <v>0.1984163578135284</v>
      </c>
      <c r="D24" s="1">
        <f>'IL-10'!I23</f>
        <v>13.218154705103739</v>
      </c>
      <c r="E24" s="1"/>
      <c r="F24">
        <f>'IL-1b'!I23</f>
        <v>0.69619911576103199</v>
      </c>
      <c r="G24">
        <f>'IL-2'!I23</f>
        <v>1.220713118681144</v>
      </c>
      <c r="I24">
        <f>'IL-5'!I23</f>
        <v>2.59874671032154</v>
      </c>
      <c r="J24">
        <f>'IL-6'!I23</f>
        <v>2.2918271511369199</v>
      </c>
      <c r="K24">
        <f>KCGRO!I23</f>
        <v>46.006743755074801</v>
      </c>
      <c r="L24">
        <f>TNFa!I23</f>
        <v>5.60500165161148</v>
      </c>
      <c r="M24" s="1" t="s">
        <v>131</v>
      </c>
    </row>
    <row r="25" spans="1:14" ht="16" x14ac:dyDescent="0.2">
      <c r="A25" s="11" t="s">
        <v>145</v>
      </c>
      <c r="B25" s="1">
        <v>26</v>
      </c>
      <c r="C25" s="1">
        <f>IFNg!I24</f>
        <v>0.21426476010405801</v>
      </c>
      <c r="D25" s="1">
        <f>'IL-10'!I24</f>
        <v>26.547830535110201</v>
      </c>
      <c r="E25" s="1"/>
      <c r="F25">
        <f>'IL-1b'!I24</f>
        <v>1.148784096800914</v>
      </c>
      <c r="G25">
        <f>'IL-2'!I24</f>
        <v>1.690546175549376</v>
      </c>
      <c r="H25">
        <f>'IL-4'!I24</f>
        <v>7.0151200219667795E-2</v>
      </c>
      <c r="I25">
        <f>'IL-5'!I24</f>
        <v>11.286786966034899</v>
      </c>
      <c r="J25">
        <f>'IL-6'!I24</f>
        <v>7.6192227998014399</v>
      </c>
      <c r="K25">
        <f>KCGRO!I24</f>
        <v>71.7640706205664</v>
      </c>
      <c r="L25">
        <f>TNFa!I24</f>
        <v>9.3237965395947793</v>
      </c>
      <c r="M25" s="1" t="s">
        <v>131</v>
      </c>
    </row>
    <row r="26" spans="1:14" ht="16" x14ac:dyDescent="0.2">
      <c r="A26" s="11" t="s">
        <v>145</v>
      </c>
      <c r="B26" s="1">
        <v>27</v>
      </c>
      <c r="C26" s="1">
        <f>IFNg!I25</f>
        <v>2.1253514281775199</v>
      </c>
      <c r="D26" s="1">
        <f>'IL-10'!I25</f>
        <v>43.926464992008398</v>
      </c>
      <c r="E26" s="1"/>
      <c r="F26">
        <f>'IL-1b'!I25</f>
        <v>1.093862718508652</v>
      </c>
      <c r="G26">
        <f>'IL-2'!I25</f>
        <v>3.8891154856577601</v>
      </c>
      <c r="H26">
        <f>'IL-4'!I25</f>
        <v>0.30183511603067398</v>
      </c>
      <c r="I26">
        <f>'IL-5'!I25</f>
        <v>7.0339613284972398</v>
      </c>
      <c r="J26">
        <f>'IL-6'!I25</f>
        <v>9.0217075544825391</v>
      </c>
      <c r="K26">
        <f>KCGRO!I25</f>
        <v>92.366161614912002</v>
      </c>
      <c r="L26">
        <f>TNFa!I25</f>
        <v>16.172264396769261</v>
      </c>
      <c r="M26" s="1" t="s">
        <v>131</v>
      </c>
    </row>
    <row r="27" spans="1:14" ht="16" x14ac:dyDescent="0.2">
      <c r="A27" s="11" t="s">
        <v>145</v>
      </c>
      <c r="B27" s="1">
        <v>28</v>
      </c>
      <c r="C27" s="1">
        <f>IFNg!I26</f>
        <v>0.677885938277074</v>
      </c>
      <c r="D27" s="1">
        <f>'IL-10'!I26</f>
        <v>34.446121818949678</v>
      </c>
      <c r="E27" s="1"/>
      <c r="F27">
        <f>'IL-1b'!I26</f>
        <v>2.21909444650476</v>
      </c>
      <c r="G27">
        <f>'IL-2'!I26</f>
        <v>4.0079474307223597</v>
      </c>
      <c r="H27">
        <f>'IL-4'!I26</f>
        <v>0.80082899554063602</v>
      </c>
      <c r="I27">
        <f>'IL-5'!I26</f>
        <v>8.5946390866053193</v>
      </c>
      <c r="J27">
        <f>'IL-6'!I26</f>
        <v>9.3327677134643992</v>
      </c>
      <c r="K27">
        <f>KCGRO!I26</f>
        <v>95.633146583561597</v>
      </c>
      <c r="L27">
        <f>TNFa!I26</f>
        <v>13.09491194011872</v>
      </c>
      <c r="M27" s="1" t="s">
        <v>131</v>
      </c>
    </row>
    <row r="28" spans="1:14" ht="16" x14ac:dyDescent="0.2">
      <c r="A28" s="11" t="s">
        <v>145</v>
      </c>
      <c r="B28" s="1">
        <v>29</v>
      </c>
      <c r="C28" s="1">
        <f>IFNg!I27</f>
        <v>0.36746964647840602</v>
      </c>
      <c r="D28" s="1">
        <f>'IL-10'!I27</f>
        <v>35.385387697546001</v>
      </c>
      <c r="E28" s="1"/>
      <c r="F28">
        <f>'IL-1b'!I27</f>
        <v>1.432278925082312</v>
      </c>
      <c r="G28">
        <f>'IL-2'!I27</f>
        <v>2.7463682923522601</v>
      </c>
      <c r="H28">
        <f>'IL-4'!I27</f>
        <v>0.39385102868140998</v>
      </c>
      <c r="I28">
        <f>'IL-5'!I27</f>
        <v>8.7754347318804999</v>
      </c>
      <c r="J28">
        <f>'IL-6'!I27</f>
        <v>6.7019166665661203</v>
      </c>
      <c r="K28">
        <f>KCGRO!I27</f>
        <v>102.90395534542139</v>
      </c>
      <c r="L28">
        <f>TNFa!I27</f>
        <v>16.502719557224658</v>
      </c>
      <c r="M28" s="1" t="s">
        <v>131</v>
      </c>
    </row>
    <row r="29" spans="1:14" ht="16" x14ac:dyDescent="0.2">
      <c r="A29" s="11" t="s">
        <v>148</v>
      </c>
      <c r="B29" s="1">
        <v>30</v>
      </c>
      <c r="C29" s="1">
        <f>IFNg!I28</f>
        <v>0.871860057338808</v>
      </c>
      <c r="D29" s="1">
        <f>'IL-10'!I28</f>
        <v>35.734240673633998</v>
      </c>
      <c r="E29" s="1"/>
      <c r="F29">
        <f>'IL-1b'!I28</f>
        <v>1.250964035170542</v>
      </c>
      <c r="G29">
        <f>'IL-2'!I28</f>
        <v>2.5618931053187599</v>
      </c>
      <c r="H29">
        <f>'IL-4'!I28</f>
        <v>0.43977282156032999</v>
      </c>
      <c r="I29">
        <f>'IL-5'!I28</f>
        <v>6.7988506060279796</v>
      </c>
      <c r="J29">
        <f>'IL-6'!I28</f>
        <v>9.1856293722356206</v>
      </c>
      <c r="K29">
        <f>KCGRO!I28</f>
        <v>107.9076438770404</v>
      </c>
      <c r="L29">
        <f>TNFa!I28</f>
        <v>13.5720857858652</v>
      </c>
      <c r="M29" s="1" t="s">
        <v>131</v>
      </c>
    </row>
    <row r="30" spans="1:14" ht="16" x14ac:dyDescent="0.2">
      <c r="A30" s="11" t="s">
        <v>148</v>
      </c>
      <c r="B30" s="1">
        <v>31</v>
      </c>
      <c r="C30" s="1">
        <f>IFNg!I29</f>
        <v>0.94681773957845605</v>
      </c>
      <c r="D30" s="1">
        <f>'IL-10'!I29</f>
        <v>42.7308124178358</v>
      </c>
      <c r="E30" s="1">
        <f>'IL-12p70'!I29</f>
        <v>4.5697288228608999</v>
      </c>
      <c r="F30">
        <f>'IL-1b'!I29</f>
        <v>1.48758688593573</v>
      </c>
      <c r="G30">
        <f>'IL-2'!I29</f>
        <v>4.0696781744525401</v>
      </c>
      <c r="H30">
        <f>'IL-4'!I29</f>
        <v>0.42665755015088402</v>
      </c>
      <c r="I30">
        <f>'IL-5'!I29</f>
        <v>9.2753259780312405</v>
      </c>
      <c r="J30">
        <f>'IL-6'!I29</f>
        <v>18.034777977705399</v>
      </c>
      <c r="K30">
        <f>KCGRO!I29</f>
        <v>136.66766773658179</v>
      </c>
      <c r="L30">
        <f>TNFa!I29</f>
        <v>19.20570852291474</v>
      </c>
      <c r="M30" s="1" t="s">
        <v>131</v>
      </c>
    </row>
    <row r="31" spans="1:14" ht="16" x14ac:dyDescent="0.2">
      <c r="A31" s="11" t="s">
        <v>148</v>
      </c>
      <c r="B31" s="1">
        <v>32</v>
      </c>
      <c r="C31" s="1">
        <f>IFNg!I30</f>
        <v>0.21426476010405801</v>
      </c>
      <c r="D31" s="1">
        <f>'IL-10'!I30</f>
        <v>38.973293459465403</v>
      </c>
      <c r="E31" s="1"/>
      <c r="F31">
        <f>'IL-1b'!I30</f>
        <v>0.99988406850618405</v>
      </c>
      <c r="G31">
        <f>'IL-2'!I30</f>
        <v>2.32720308475974</v>
      </c>
      <c r="H31">
        <f>'IL-4'!I30</f>
        <v>0.34787428145444799</v>
      </c>
      <c r="I31">
        <f>'IL-5'!I30</f>
        <v>6.11889314064332</v>
      </c>
      <c r="J31">
        <f>'IL-6'!I30</f>
        <v>10.57088445998788</v>
      </c>
      <c r="K31">
        <f>KCGRO!I30</f>
        <v>124.46191141445981</v>
      </c>
      <c r="L31">
        <f>TNFa!I30</f>
        <v>14.802121415675099</v>
      </c>
      <c r="M31" s="1" t="s">
        <v>131</v>
      </c>
    </row>
    <row r="32" spans="1:14" ht="16" x14ac:dyDescent="0.2">
      <c r="A32" s="9" t="s">
        <v>144</v>
      </c>
      <c r="B32" s="1">
        <v>3</v>
      </c>
      <c r="C32" s="1"/>
      <c r="D32" s="1">
        <f>'IL-10'!I31</f>
        <v>2.1201692649017798</v>
      </c>
      <c r="E32" s="1">
        <f>'IL-12p70'!I31</f>
        <v>13.908931456161779</v>
      </c>
      <c r="F32">
        <f>'IL-1b'!I31</f>
        <v>15.181031199949119</v>
      </c>
      <c r="G32">
        <f>'IL-2'!I31</f>
        <v>1.361255927973942</v>
      </c>
      <c r="H32">
        <f>'IL-4'!I31</f>
        <v>0.77310702783038399</v>
      </c>
      <c r="I32">
        <f>'IL-5'!I31</f>
        <v>2.1127679569953601</v>
      </c>
      <c r="J32">
        <f>'IL-6'!I31</f>
        <v>39.424831185916403</v>
      </c>
      <c r="K32">
        <f>KCGRO!I31</f>
        <v>26.258209228761402</v>
      </c>
      <c r="L32">
        <f>TNFa!I31</f>
        <v>2.9869615107104202</v>
      </c>
      <c r="M32" s="1" t="s">
        <v>132</v>
      </c>
      <c r="N32">
        <v>35</v>
      </c>
    </row>
    <row r="33" spans="1:14" ht="16" x14ac:dyDescent="0.2">
      <c r="A33" s="10" t="s">
        <v>144</v>
      </c>
      <c r="B33" s="1">
        <v>4</v>
      </c>
      <c r="C33" s="1"/>
      <c r="D33" s="1">
        <f>'IL-10'!I32</f>
        <v>0.19413353177931361</v>
      </c>
      <c r="E33" s="1">
        <f>'IL-12p70'!I32</f>
        <v>14.322261540716481</v>
      </c>
      <c r="F33">
        <f>'IL-1b'!I32</f>
        <v>1.9955889811960801</v>
      </c>
      <c r="G33">
        <f>'IL-2'!I32</f>
        <v>0.81955065248383796</v>
      </c>
      <c r="H33">
        <f>'IL-4'!I32</f>
        <v>0.53147390525192595</v>
      </c>
      <c r="I33">
        <f>'IL-5'!I32</f>
        <v>1.344347032309428</v>
      </c>
      <c r="J33">
        <f>'IL-6'!I32</f>
        <v>24.895070375688601</v>
      </c>
      <c r="K33">
        <f>KCGRO!I32</f>
        <v>6.7922154483490003</v>
      </c>
      <c r="L33">
        <f>TNFa!I32</f>
        <v>1.1512518271807799</v>
      </c>
      <c r="M33" s="1" t="s">
        <v>132</v>
      </c>
      <c r="N33">
        <v>11</v>
      </c>
    </row>
    <row r="34" spans="1:14" ht="16" x14ac:dyDescent="0.2">
      <c r="A34" s="11" t="s">
        <v>144</v>
      </c>
      <c r="B34" s="1">
        <v>5</v>
      </c>
      <c r="C34" s="1"/>
      <c r="D34" s="1">
        <f>'IL-10'!I33</f>
        <v>2.4589365753046799</v>
      </c>
      <c r="E34" s="1">
        <f>'IL-12p70'!I33</f>
        <v>17.366663628905901</v>
      </c>
      <c r="F34">
        <f>'IL-1b'!I33</f>
        <v>3.1019974221205802</v>
      </c>
      <c r="G34">
        <f>'IL-2'!I33</f>
        <v>1.143696718504998</v>
      </c>
      <c r="H34">
        <f>'IL-4'!I33</f>
        <v>0.942421305201258</v>
      </c>
      <c r="I34">
        <f>'IL-5'!I33</f>
        <v>1.149065677110398</v>
      </c>
      <c r="J34">
        <f>'IL-6'!I33</f>
        <v>41.853785290070398</v>
      </c>
      <c r="K34">
        <f>KCGRO!I33</f>
        <v>8.9107065381101993</v>
      </c>
      <c r="L34">
        <f>TNFa!I33</f>
        <v>1.83666485052064</v>
      </c>
      <c r="M34" s="1" t="s">
        <v>132</v>
      </c>
      <c r="N34">
        <v>13</v>
      </c>
    </row>
    <row r="35" spans="1:14" ht="16" x14ac:dyDescent="0.2">
      <c r="A35" s="10" t="s">
        <v>144</v>
      </c>
      <c r="B35" s="1">
        <v>6</v>
      </c>
      <c r="C35" s="1"/>
      <c r="D35" s="1">
        <f>'IL-10'!I34</f>
        <v>0</v>
      </c>
      <c r="E35" s="1">
        <f>'IL-12p70'!I34</f>
        <v>15.95744728476482</v>
      </c>
      <c r="F35">
        <f>'IL-1b'!I34</f>
        <v>2.2349697140203202</v>
      </c>
      <c r="G35">
        <f>'IL-2'!I34</f>
        <v>0.63514352721160205</v>
      </c>
      <c r="H35">
        <f>'IL-4'!I34</f>
        <v>0.49874369373119998</v>
      </c>
      <c r="I35">
        <f>'IL-5'!I34</f>
        <v>0.465365637281204</v>
      </c>
      <c r="J35">
        <f>'IL-6'!I34</f>
        <v>27.931951748197001</v>
      </c>
      <c r="K35">
        <f>KCGRO!I34</f>
        <v>6.8221263062026596</v>
      </c>
      <c r="L35">
        <f>TNFa!I34</f>
        <v>1.1921954984335681</v>
      </c>
      <c r="M35" s="1" t="s">
        <v>132</v>
      </c>
      <c r="N35">
        <v>9.6999999999999993</v>
      </c>
    </row>
    <row r="36" spans="1:14" ht="16" x14ac:dyDescent="0.2">
      <c r="A36" s="11" t="s">
        <v>144</v>
      </c>
      <c r="B36" s="1">
        <v>7</v>
      </c>
      <c r="C36" s="1"/>
      <c r="D36" s="1">
        <f>'IL-10'!I35</f>
        <v>0</v>
      </c>
      <c r="E36" s="1">
        <f>'IL-12p70'!I35</f>
        <v>9.2119457682494197</v>
      </c>
      <c r="F36">
        <f>'IL-1b'!I35</f>
        <v>3.8620579853558201</v>
      </c>
      <c r="G36">
        <f>'IL-2'!I35</f>
        <v>1.143696718504998</v>
      </c>
      <c r="H36">
        <f>'IL-4'!I35</f>
        <v>0.45943826655994802</v>
      </c>
      <c r="I36">
        <f>'IL-5'!I35</f>
        <v>0.88849058499730804</v>
      </c>
      <c r="J36">
        <f>'IL-6'!I35</f>
        <v>9.7577289730290602</v>
      </c>
      <c r="K36">
        <f>KCGRO!I35</f>
        <v>5.2161264925822604</v>
      </c>
      <c r="L36">
        <f>TNFa!I35</f>
        <v>1.2167514138034381</v>
      </c>
      <c r="M36" s="1" t="s">
        <v>132</v>
      </c>
      <c r="N36">
        <v>16.5</v>
      </c>
    </row>
    <row r="37" spans="1:14" ht="16" x14ac:dyDescent="0.2">
      <c r="A37" s="10" t="s">
        <v>144</v>
      </c>
      <c r="B37" s="1">
        <v>8</v>
      </c>
      <c r="C37" s="1"/>
      <c r="D37" s="1">
        <f>'IL-10'!I36</f>
        <v>2.1819539363573801</v>
      </c>
      <c r="E37" s="1">
        <f>'IL-12p70'!I36</f>
        <v>16.362021740693262</v>
      </c>
      <c r="F37">
        <f>'IL-1b'!I36</f>
        <v>5.20558731555312</v>
      </c>
      <c r="G37">
        <f>'IL-2'!I36</f>
        <v>1.5010336104786841</v>
      </c>
      <c r="H37">
        <f>'IL-4'!I36</f>
        <v>0.42009837553541401</v>
      </c>
      <c r="I37">
        <f>'IL-5'!I36</f>
        <v>1.4788736792823041</v>
      </c>
      <c r="J37">
        <f>'IL-6'!I36</f>
        <v>73.462355051636607</v>
      </c>
      <c r="K37">
        <f>KCGRO!I36</f>
        <v>16.375067626608541</v>
      </c>
      <c r="L37">
        <f>TNFa!I36</f>
        <v>2.4371601023446998</v>
      </c>
      <c r="M37" s="1" t="s">
        <v>132</v>
      </c>
      <c r="N37">
        <v>10.199999999999999</v>
      </c>
    </row>
    <row r="38" spans="1:14" ht="16" x14ac:dyDescent="0.2">
      <c r="A38" s="11" t="s">
        <v>144</v>
      </c>
      <c r="B38" s="1">
        <v>9</v>
      </c>
      <c r="C38" s="1"/>
      <c r="D38" s="1">
        <f>'IL-10'!I37</f>
        <v>0</v>
      </c>
      <c r="E38" s="1">
        <f>'IL-12p70'!I37</f>
        <v>4.32158459236304</v>
      </c>
      <c r="F38">
        <f>'IL-1b'!I37</f>
        <v>2.4670237972801199</v>
      </c>
      <c r="G38">
        <f>'IL-2'!I37</f>
        <v>1.220713118681144</v>
      </c>
      <c r="H38">
        <f>'IL-4'!I37</f>
        <v>0.52492955394463203</v>
      </c>
      <c r="I38">
        <f>'IL-5'!I37</f>
        <v>0.57460434227405799</v>
      </c>
      <c r="J38">
        <f>'IL-6'!I37</f>
        <v>38.317233389613001</v>
      </c>
      <c r="K38">
        <f>KCGRO!I37</f>
        <v>8.9317247505034594</v>
      </c>
      <c r="L38">
        <f>TNFa!I37</f>
        <v>1.3394211796831801</v>
      </c>
      <c r="M38" s="1" t="s">
        <v>132</v>
      </c>
      <c r="N38">
        <v>2.2000000000000002</v>
      </c>
    </row>
    <row r="39" spans="1:14" ht="16" x14ac:dyDescent="0.2">
      <c r="A39" s="10" t="s">
        <v>144</v>
      </c>
      <c r="B39" s="1">
        <v>10</v>
      </c>
      <c r="C39" s="1"/>
      <c r="D39" s="1">
        <f>'IL-10'!I38</f>
        <v>1.273155240386192E-2</v>
      </c>
      <c r="E39" s="1">
        <f>'IL-12p70'!I38</f>
        <v>1.069125111616452</v>
      </c>
      <c r="F39">
        <f>'IL-1b'!I38</f>
        <v>4.4551423335258997</v>
      </c>
      <c r="G39">
        <f>'IL-2'!I38</f>
        <v>0.98881474406191205</v>
      </c>
      <c r="H39">
        <f>'IL-4'!I38</f>
        <v>0.45288409361779203</v>
      </c>
      <c r="I39">
        <f>'IL-5'!I38</f>
        <v>0.57460434227405799</v>
      </c>
      <c r="J39">
        <f>'IL-6'!I38</f>
        <v>23.6729920322488</v>
      </c>
      <c r="K39">
        <f>KCGRO!I38</f>
        <v>9.5483555731056793</v>
      </c>
      <c r="L39">
        <f>TNFa!I38</f>
        <v>1.4537588237428161</v>
      </c>
      <c r="M39" s="1" t="s">
        <v>132</v>
      </c>
      <c r="N39">
        <v>15.4</v>
      </c>
    </row>
    <row r="40" spans="1:14" ht="16" x14ac:dyDescent="0.2">
      <c r="A40" s="11" t="s">
        <v>147</v>
      </c>
      <c r="B40" s="1">
        <v>11</v>
      </c>
      <c r="C40" s="1"/>
      <c r="D40" s="1">
        <f>'IL-10'!I39</f>
        <v>0</v>
      </c>
      <c r="E40" s="1">
        <f>'IL-12p70'!I39</f>
        <v>19.3492248421048</v>
      </c>
      <c r="F40">
        <f>'IL-1b'!I39</f>
        <v>2.3949420829353198</v>
      </c>
      <c r="G40">
        <f>'IL-2'!I39</f>
        <v>1.3739933022749899</v>
      </c>
      <c r="H40">
        <f>'IL-4'!I39</f>
        <v>0.56418350167950604</v>
      </c>
      <c r="I40">
        <f>'IL-5'!I39</f>
        <v>1.1293125893579981</v>
      </c>
      <c r="J40">
        <f>'IL-6'!I39</f>
        <v>23.902470535704399</v>
      </c>
      <c r="K40">
        <f>KCGRO!I39</f>
        <v>5.8435656953706996</v>
      </c>
      <c r="L40">
        <f>TNFa!I39</f>
        <v>1.4537588237428161</v>
      </c>
      <c r="M40" s="1" t="s">
        <v>132</v>
      </c>
      <c r="N40">
        <v>9.8000000000000007</v>
      </c>
    </row>
    <row r="41" spans="1:14" ht="16" x14ac:dyDescent="0.2">
      <c r="A41" s="11" t="s">
        <v>147</v>
      </c>
      <c r="B41" s="1">
        <v>12</v>
      </c>
      <c r="C41" s="1"/>
      <c r="D41" s="1">
        <f>'IL-10'!I40</f>
        <v>0</v>
      </c>
      <c r="E41" s="1">
        <f>'IL-12p70'!I40</f>
        <v>9.6525178928892199</v>
      </c>
      <c r="F41">
        <f>'IL-1b'!I40</f>
        <v>3.9350535749859601</v>
      </c>
      <c r="G41">
        <f>'IL-2'!I40</f>
        <v>1.2335237724118839</v>
      </c>
      <c r="H41">
        <f>'IL-4'!I40</f>
        <v>0.59033716090574595</v>
      </c>
      <c r="I41">
        <f>'IL-5'!I40</f>
        <v>0.702282970663758</v>
      </c>
      <c r="J41">
        <f>'IL-6'!I40</f>
        <v>26.871881093373801</v>
      </c>
      <c r="K41">
        <f>KCGRO!I40</f>
        <v>9.2046921193290991</v>
      </c>
      <c r="L41">
        <f>TNFa!I40</f>
        <v>1.877323388171878</v>
      </c>
      <c r="M41" s="1" t="s">
        <v>132</v>
      </c>
      <c r="N41">
        <v>13.5</v>
      </c>
    </row>
    <row r="42" spans="1:14" ht="16" x14ac:dyDescent="0.2">
      <c r="A42" s="11" t="s">
        <v>147</v>
      </c>
      <c r="B42" s="1">
        <v>13</v>
      </c>
      <c r="C42" s="1"/>
      <c r="D42" s="1">
        <f>'IL-10'!I41</f>
        <v>0.92417034527413799</v>
      </c>
      <c r="E42" s="1">
        <f>'IL-12p70'!I41</f>
        <v>18.955387279503501</v>
      </c>
      <c r="F42">
        <f>'IL-1b'!I41</f>
        <v>3.4248822597859601</v>
      </c>
      <c r="G42">
        <f>'IL-2'!I41</f>
        <v>1.6275067631339719</v>
      </c>
      <c r="H42">
        <f>'IL-4'!I41</f>
        <v>0.83175496437167795</v>
      </c>
      <c r="I42">
        <f>'IL-5'!I41</f>
        <v>1.266702564042506</v>
      </c>
      <c r="J42">
        <f>'IL-6'!I41</f>
        <v>24.055368179100402</v>
      </c>
      <c r="K42">
        <f>KCGRO!I41</f>
        <v>9.5860287123268009</v>
      </c>
      <c r="L42">
        <f>TNFa!I41</f>
        <v>2.4371601023446998</v>
      </c>
      <c r="M42" s="1" t="s">
        <v>132</v>
      </c>
      <c r="N42">
        <v>12.6</v>
      </c>
    </row>
    <row r="43" spans="1:14" ht="16" x14ac:dyDescent="0.2">
      <c r="A43" s="11" t="s">
        <v>147</v>
      </c>
      <c r="B43" s="1">
        <v>14</v>
      </c>
      <c r="C43" s="1"/>
      <c r="D43" s="1">
        <f>'IL-10'!I42</f>
        <v>0.33153041473686201</v>
      </c>
      <c r="E43" s="1">
        <f>'IL-12p70'!I42</f>
        <v>16.765018497846</v>
      </c>
      <c r="F43">
        <f>'IL-1b'!I42</f>
        <v>2.3389183669538798</v>
      </c>
      <c r="G43">
        <f>'IL-2'!I42</f>
        <v>1.2846968115436821</v>
      </c>
      <c r="H43">
        <f>'IL-4'!I42</f>
        <v>0.62954559544998401</v>
      </c>
      <c r="I43">
        <f>'IL-5'!I42</f>
        <v>0.84758244033138397</v>
      </c>
      <c r="J43">
        <f>'IL-6'!I42</f>
        <v>32.443861247498397</v>
      </c>
      <c r="K43">
        <f>KCGRO!I42</f>
        <v>6.05465577148086</v>
      </c>
      <c r="L43">
        <f>TNFa!I42</f>
        <v>1.7797198719840039</v>
      </c>
      <c r="M43" s="1" t="s">
        <v>132</v>
      </c>
      <c r="N43">
        <v>7.6</v>
      </c>
    </row>
    <row r="44" spans="1:14" ht="16" x14ac:dyDescent="0.2">
      <c r="A44" s="11" t="s">
        <v>147</v>
      </c>
      <c r="B44" s="1">
        <v>15</v>
      </c>
      <c r="C44" s="1"/>
      <c r="D44" s="1">
        <f>'IL-10'!I43</f>
        <v>0.66430259275594405</v>
      </c>
      <c r="E44" s="1">
        <f>'IL-12p70'!I43</f>
        <v>17.166487390452719</v>
      </c>
      <c r="F44">
        <f>'IL-1b'!I43</f>
        <v>2.47503637135208</v>
      </c>
      <c r="G44">
        <f>'IL-2'!I43</f>
        <v>1.182238111815276</v>
      </c>
      <c r="H44">
        <f>'IL-4'!I43</f>
        <v>0.63607786394023202</v>
      </c>
      <c r="I44">
        <f>'IL-5'!I43</f>
        <v>1.1293125893579981</v>
      </c>
      <c r="J44">
        <f>'IL-6'!I43</f>
        <v>18.34670693730882</v>
      </c>
      <c r="K44">
        <f>KCGRO!I43</f>
        <v>6.0116128198860999</v>
      </c>
      <c r="L44">
        <f>TNFa!I43</f>
        <v>1.4619204464203099</v>
      </c>
      <c r="M44" s="1" t="s">
        <v>132</v>
      </c>
      <c r="N44">
        <v>9</v>
      </c>
    </row>
    <row r="45" spans="1:14" ht="16" x14ac:dyDescent="0.2">
      <c r="A45" s="11" t="s">
        <v>147</v>
      </c>
      <c r="B45" s="1">
        <v>16</v>
      </c>
      <c r="C45" s="1"/>
      <c r="D45" s="1">
        <f>'IL-10'!I44</f>
        <v>0</v>
      </c>
      <c r="E45" s="1">
        <f>'IL-12p70'!I44</f>
        <v>11.384892776004399</v>
      </c>
      <c r="F45">
        <f>'IL-1b'!I44</f>
        <v>2.6434569256606801</v>
      </c>
      <c r="G45">
        <f>'IL-2'!I44</f>
        <v>0.89788173281709005</v>
      </c>
      <c r="H45">
        <f>'IL-4'!I44</f>
        <v>0.45288409361779203</v>
      </c>
      <c r="I45">
        <f>'IL-5'!I44</f>
        <v>1.1293125893579981</v>
      </c>
      <c r="J45">
        <f>'IL-6'!I44</f>
        <v>19.97825067774502</v>
      </c>
      <c r="K45">
        <f>KCGRO!I44</f>
        <v>7.2017429437125404</v>
      </c>
      <c r="L45">
        <f>TNFa!I44</f>
        <v>1.3639341625085859</v>
      </c>
      <c r="M45" s="1" t="s">
        <v>132</v>
      </c>
      <c r="N45">
        <v>12</v>
      </c>
    </row>
    <row r="46" spans="1:14" ht="16" x14ac:dyDescent="0.2">
      <c r="A46" s="11" t="s">
        <v>147</v>
      </c>
      <c r="B46" s="1">
        <v>17</v>
      </c>
      <c r="C46" s="1">
        <f>IFNg!I45</f>
        <v>0.18243793763549901</v>
      </c>
      <c r="D46" s="1">
        <f>'IL-10'!I45</f>
        <v>1.3706584205030541</v>
      </c>
      <c r="E46" s="1">
        <f>'IL-12p70'!I45</f>
        <v>8.5447129674013595</v>
      </c>
      <c r="F46">
        <f>'IL-1b'!I45</f>
        <v>5.6392582079225404</v>
      </c>
      <c r="G46">
        <f>'IL-2'!I45</f>
        <v>1.7660299964442501</v>
      </c>
      <c r="H46">
        <f>'IL-4'!I45</f>
        <v>1.1049284110169919</v>
      </c>
      <c r="I46">
        <f>'IL-5'!I45</f>
        <v>2.4739635670877602</v>
      </c>
      <c r="J46">
        <f>'IL-6'!I45</f>
        <v>17.95673536123018</v>
      </c>
      <c r="K46">
        <f>KCGRO!I45</f>
        <v>10.304327582167719</v>
      </c>
      <c r="L46">
        <f>TNFa!I45</f>
        <v>4.0500498382797803</v>
      </c>
      <c r="M46" s="1" t="s">
        <v>132</v>
      </c>
      <c r="N46">
        <v>17.399999999999999</v>
      </c>
    </row>
    <row r="47" spans="1:14" ht="16" x14ac:dyDescent="0.2">
      <c r="A47" s="11" t="s">
        <v>147</v>
      </c>
      <c r="B47" s="1">
        <v>18</v>
      </c>
      <c r="C47" s="1">
        <f>IFNg!I46</f>
        <v>0.19044420372821999</v>
      </c>
      <c r="D47" s="1">
        <f>'IL-10'!I46</f>
        <v>1.8720943410575981</v>
      </c>
      <c r="E47" s="1">
        <f>'IL-12p70'!I46</f>
        <v>10.740502277943399</v>
      </c>
      <c r="F47">
        <f>'IL-1b'!I46</f>
        <v>3.1584400819244798</v>
      </c>
      <c r="G47">
        <f>'IL-2'!I46</f>
        <v>1.259124049570294</v>
      </c>
      <c r="H47">
        <f>'IL-4'!I46</f>
        <v>0.89686985834828803</v>
      </c>
      <c r="I47">
        <f>'IL-5'!I46</f>
        <v>1.3636672867719559</v>
      </c>
      <c r="J47">
        <f>'IL-6'!I46</f>
        <v>14.655252701290999</v>
      </c>
      <c r="K47">
        <f>KCGRO!I46</f>
        <v>6.7109885446698598</v>
      </c>
      <c r="L47">
        <f>TNFa!I46</f>
        <v>2.67992921604354</v>
      </c>
      <c r="M47" s="1" t="s">
        <v>132</v>
      </c>
      <c r="N47">
        <v>9</v>
      </c>
    </row>
    <row r="48" spans="1:14" ht="16" x14ac:dyDescent="0.2">
      <c r="A48" s="11" t="s">
        <v>147</v>
      </c>
      <c r="B48" s="1">
        <v>19</v>
      </c>
      <c r="C48" s="1"/>
      <c r="D48" s="1">
        <f>'IL-10'!I47</f>
        <v>3.1297768556549799</v>
      </c>
      <c r="E48" s="1">
        <f>'IL-12p70'!I47</f>
        <v>22.6488598609062</v>
      </c>
      <c r="F48">
        <f>'IL-1b'!I47</f>
        <v>3.6594878300992999</v>
      </c>
      <c r="G48">
        <f>'IL-2'!I47</f>
        <v>1.513705576602224</v>
      </c>
      <c r="H48">
        <f>'IL-4'!I47</f>
        <v>1.137399276332054</v>
      </c>
      <c r="I48">
        <f>'IL-5'!I47</f>
        <v>2.1492251081554801</v>
      </c>
      <c r="J48">
        <f>'IL-6'!I47</f>
        <v>13.463632368847019</v>
      </c>
      <c r="K48">
        <f>KCGRO!I47</f>
        <v>6.03313661786936</v>
      </c>
      <c r="L48">
        <f>TNFa!I47</f>
        <v>2.5100277894388001</v>
      </c>
      <c r="M48" s="1" t="s">
        <v>132</v>
      </c>
      <c r="N48">
        <v>10.4</v>
      </c>
    </row>
    <row r="49" spans="1:14" ht="16" x14ac:dyDescent="0.2">
      <c r="A49" s="11" t="s">
        <v>147</v>
      </c>
      <c r="B49" s="1">
        <v>20</v>
      </c>
      <c r="C49" s="1">
        <f>IFNg!I48</f>
        <v>0.1663156311945638</v>
      </c>
      <c r="D49" s="1">
        <f>'IL-10'!I48</f>
        <v>1.275692337288626</v>
      </c>
      <c r="E49" s="1">
        <f>'IL-12p70'!I48</f>
        <v>13.7015384793786</v>
      </c>
      <c r="F49">
        <f>'IL-1b'!I48</f>
        <v>3.9675077150651599</v>
      </c>
      <c r="G49">
        <f>'IL-2'!I48</f>
        <v>1.169398475831938</v>
      </c>
      <c r="H49">
        <f>'IL-4'!I48</f>
        <v>1.1633691309649801</v>
      </c>
      <c r="I49">
        <f>'IL-5'!I48</f>
        <v>2.13100653153862</v>
      </c>
      <c r="J49">
        <f>'IL-6'!I48</f>
        <v>14.25884850448888</v>
      </c>
      <c r="K49">
        <f>KCGRO!I48</f>
        <v>8.8097772276063804</v>
      </c>
      <c r="L49">
        <f>TNFa!I48</f>
        <v>3.0999553010425198</v>
      </c>
      <c r="M49" s="1" t="s">
        <v>132</v>
      </c>
      <c r="N49">
        <v>16</v>
      </c>
    </row>
    <row r="50" spans="1:14" ht="16" x14ac:dyDescent="0.2">
      <c r="A50" s="11" t="s">
        <v>147</v>
      </c>
      <c r="B50" s="1">
        <v>21</v>
      </c>
      <c r="C50" s="1"/>
      <c r="D50" s="1">
        <f>'IL-10'!I49</f>
        <v>1.4652951059853321</v>
      </c>
      <c r="E50" s="1">
        <f>'IL-12p70'!I49</f>
        <v>9.4326390955060795</v>
      </c>
      <c r="F50">
        <f>'IL-1b'!I49</f>
        <v>5.1156987481869196</v>
      </c>
      <c r="G50">
        <f>'IL-2'!I49</f>
        <v>2.1659077842828398</v>
      </c>
      <c r="H50">
        <f>'IL-4'!I49</f>
        <v>1.0529545954549759</v>
      </c>
      <c r="I50">
        <f>'IL-5'!I49</f>
        <v>1.8922613604768621</v>
      </c>
      <c r="J50">
        <f>'IL-6'!I49</f>
        <v>15.28790878971366</v>
      </c>
      <c r="K50">
        <f>KCGRO!I49</f>
        <v>10.566657808093501</v>
      </c>
      <c r="L50">
        <f>TNFa!I49</f>
        <v>3.7525453756014802</v>
      </c>
      <c r="M50" s="1" t="s">
        <v>132</v>
      </c>
      <c r="N50">
        <v>20.3</v>
      </c>
    </row>
    <row r="51" spans="1:14" ht="16" x14ac:dyDescent="0.2">
      <c r="A51" s="11" t="s">
        <v>145</v>
      </c>
      <c r="B51" s="1">
        <v>22</v>
      </c>
      <c r="C51" s="1"/>
      <c r="D51" s="1">
        <f>'IL-10'!I50</f>
        <v>0.76226294876425404</v>
      </c>
      <c r="E51" s="1">
        <f>'IL-12p70'!I50</f>
        <v>18.163776281667179</v>
      </c>
      <c r="F51">
        <f>'IL-1b'!I50</f>
        <v>1.796684453475512</v>
      </c>
      <c r="G51">
        <f>'IL-2'!I50</f>
        <v>1.27191383146503</v>
      </c>
      <c r="H51">
        <f>'IL-4'!I50</f>
        <v>0.87082990686503803</v>
      </c>
      <c r="I51">
        <f>'IL-5'!I50</f>
        <v>1.3055988354310779</v>
      </c>
      <c r="J51">
        <f>'IL-6'!I50</f>
        <v>12.904976266379821</v>
      </c>
      <c r="K51">
        <f>KCGRO!I50</f>
        <v>4.7501994695280398</v>
      </c>
      <c r="L51">
        <f>TNFa!I50</f>
        <v>1.730887904802894</v>
      </c>
      <c r="M51" s="1" t="s">
        <v>132</v>
      </c>
      <c r="N51">
        <v>6.7</v>
      </c>
    </row>
    <row r="52" spans="1:14" ht="16" x14ac:dyDescent="0.2">
      <c r="A52" s="11" t="s">
        <v>145</v>
      </c>
      <c r="B52" s="1">
        <v>23</v>
      </c>
      <c r="C52" s="1">
        <f>IFNg!I51</f>
        <v>1.8287613782249201E-2</v>
      </c>
      <c r="D52" s="1">
        <f>'IL-10'!I51</f>
        <v>1.275692337288626</v>
      </c>
      <c r="E52" s="1">
        <f>'IL-12p70'!I51</f>
        <v>13.493647334075821</v>
      </c>
      <c r="F52">
        <f>'IL-1b'!I51</f>
        <v>4.46328213898438</v>
      </c>
      <c r="G52">
        <f>'IL-2'!I51</f>
        <v>1.7031389937091961</v>
      </c>
      <c r="H52">
        <f>'IL-4'!I51</f>
        <v>0.909886920606646</v>
      </c>
      <c r="I52">
        <f>'IL-5'!I51</f>
        <v>2.3303557958772401</v>
      </c>
      <c r="J52">
        <f>'IL-6'!I51</f>
        <v>17.878668354477242</v>
      </c>
      <c r="K52">
        <f>KCGRO!I51</f>
        <v>23.718454154054001</v>
      </c>
      <c r="L52">
        <f>TNFa!I51</f>
        <v>2.1615746200237602</v>
      </c>
      <c r="M52" s="1" t="s">
        <v>132</v>
      </c>
      <c r="N52">
        <v>15.3</v>
      </c>
    </row>
    <row r="53" spans="1:14" ht="16" x14ac:dyDescent="0.2">
      <c r="A53" s="11" t="s">
        <v>145</v>
      </c>
      <c r="B53" s="1">
        <v>24</v>
      </c>
      <c r="C53" s="1"/>
      <c r="D53" s="1">
        <f>'IL-10'!I52</f>
        <v>1.02061704189168</v>
      </c>
      <c r="E53" s="1">
        <f>'IL-12p70'!I52</f>
        <v>20.133137896480999</v>
      </c>
      <c r="F53">
        <f>'IL-1b'!I52</f>
        <v>1.828471424308526</v>
      </c>
      <c r="G53">
        <f>'IL-2'!I52</f>
        <v>1.310242662642054</v>
      </c>
      <c r="H53">
        <f>'IL-4'!I52</f>
        <v>0.73398330495194997</v>
      </c>
      <c r="I53">
        <f>'IL-5'!I52</f>
        <v>1.574002877173478</v>
      </c>
      <c r="J53">
        <f>'IL-6'!I52</f>
        <v>20.674514373554999</v>
      </c>
      <c r="K53">
        <f>KCGRO!I52</f>
        <v>4.8418532527330198</v>
      </c>
      <c r="L53">
        <f>TNFa!I52</f>
        <v>2.5909542949687001</v>
      </c>
      <c r="M53" s="1" t="s">
        <v>132</v>
      </c>
      <c r="N53">
        <v>7</v>
      </c>
    </row>
    <row r="54" spans="1:14" ht="16" x14ac:dyDescent="0.2">
      <c r="A54" s="11" t="s">
        <v>145</v>
      </c>
      <c r="B54" s="1">
        <v>25</v>
      </c>
      <c r="C54" s="1"/>
      <c r="D54" s="1">
        <f>'IL-10'!I53</f>
        <v>0</v>
      </c>
      <c r="E54" s="1">
        <f>'IL-12p70'!I53</f>
        <v>11.81127949912416</v>
      </c>
      <c r="F54">
        <f>'IL-1b'!I53</f>
        <v>1.5429495859964819</v>
      </c>
      <c r="G54">
        <f>'IL-2'!I53</f>
        <v>1.3739933022749899</v>
      </c>
      <c r="H54">
        <f>'IL-4'!I53</f>
        <v>0.54456014595954205</v>
      </c>
      <c r="I54">
        <f>'IL-5'!I53</f>
        <v>1.4788736792823041</v>
      </c>
      <c r="J54">
        <f>'IL-6'!I53</f>
        <v>11.78233956852786</v>
      </c>
      <c r="K54">
        <f>KCGRO!I53</f>
        <v>3.17337225470198</v>
      </c>
      <c r="L54">
        <f>TNFa!I53</f>
        <v>1.6087150934185981</v>
      </c>
      <c r="M54" s="1" t="s">
        <v>132</v>
      </c>
      <c r="N54">
        <v>6.8</v>
      </c>
    </row>
    <row r="55" spans="1:14" ht="16" x14ac:dyDescent="0.2">
      <c r="A55" s="11" t="s">
        <v>145</v>
      </c>
      <c r="B55" s="1">
        <v>26</v>
      </c>
      <c r="C55" s="1"/>
      <c r="D55" s="1">
        <f>'IL-10'!I54</f>
        <v>0.98852119181119003</v>
      </c>
      <c r="E55" s="1">
        <f>'IL-12p70'!I54</f>
        <v>7.8691179108324398</v>
      </c>
      <c r="F55">
        <f>'IL-1b'!I54</f>
        <v>10.90852405535432</v>
      </c>
      <c r="G55">
        <f>'IL-2'!I54</f>
        <v>1.5769822576794219</v>
      </c>
      <c r="H55">
        <f>'IL-4'!I54</f>
        <v>1.234756060498658</v>
      </c>
      <c r="I55">
        <f>'IL-5'!I54</f>
        <v>1.6871960680412961</v>
      </c>
      <c r="J55">
        <f>'IL-6'!I54</f>
        <v>10.408624181764219</v>
      </c>
      <c r="K55">
        <f>KCGRO!I54</f>
        <v>25.4975157125896</v>
      </c>
      <c r="L55">
        <f>TNFa!I54</f>
        <v>4.4756334672818001</v>
      </c>
      <c r="M55" s="1" t="s">
        <v>132</v>
      </c>
      <c r="N55">
        <v>2.7</v>
      </c>
    </row>
    <row r="56" spans="1:14" ht="16" x14ac:dyDescent="0.2">
      <c r="A56" s="11" t="s">
        <v>145</v>
      </c>
      <c r="B56" s="1">
        <v>27</v>
      </c>
      <c r="C56" s="1"/>
      <c r="D56" s="1">
        <f>'IL-10'!I55</f>
        <v>0.1236890482558414</v>
      </c>
      <c r="E56" s="1">
        <f>'IL-12p70'!I55</f>
        <v>11.170753422496499</v>
      </c>
      <c r="F56">
        <f>'IL-1b'!I55</f>
        <v>2.2030111257446801</v>
      </c>
      <c r="G56">
        <f>'IL-2'!I55</f>
        <v>1.526371932226398</v>
      </c>
      <c r="H56">
        <f>'IL-4'!I55</f>
        <v>0.61647897160818999</v>
      </c>
      <c r="I56">
        <f>'IL-5'!I55</f>
        <v>1.63072546024122</v>
      </c>
      <c r="J56">
        <f>'IL-6'!I55</f>
        <v>15.36685700638674</v>
      </c>
      <c r="K56">
        <f>KCGRO!I55</f>
        <v>4.7632993708270197</v>
      </c>
      <c r="L56">
        <f>TNFa!I55</f>
        <v>3.1644949871505998</v>
      </c>
      <c r="M56" s="1" t="s">
        <v>132</v>
      </c>
      <c r="N56">
        <v>9.8000000000000007</v>
      </c>
    </row>
    <row r="57" spans="1:14" ht="16" x14ac:dyDescent="0.2">
      <c r="A57" s="11" t="s">
        <v>145</v>
      </c>
      <c r="B57" s="1">
        <v>28</v>
      </c>
      <c r="C57" s="1"/>
      <c r="D57" s="1">
        <f>'IL-10'!I56</f>
        <v>0.95637294438554599</v>
      </c>
      <c r="E57" s="1">
        <f>'IL-12p70'!I56</f>
        <v>9.4326390955060795</v>
      </c>
      <c r="F57">
        <f>'IL-1b'!I56</f>
        <v>1.9796564550137019</v>
      </c>
      <c r="G57">
        <f>'IL-2'!I56</f>
        <v>1.27191383146503</v>
      </c>
      <c r="H57">
        <f>'IL-4'!I56</f>
        <v>0.66872905562098195</v>
      </c>
      <c r="I57">
        <f>'IL-5'!I56</f>
        <v>1.74342525556424</v>
      </c>
      <c r="J57">
        <f>'IL-6'!I56</f>
        <v>10.8948715496437</v>
      </c>
      <c r="K57">
        <f>KCGRO!I56</f>
        <v>6.03313661786936</v>
      </c>
      <c r="L57">
        <f>TNFa!I56</f>
        <v>2.2994300435870398</v>
      </c>
      <c r="M57" s="1" t="s">
        <v>132</v>
      </c>
      <c r="N57">
        <v>12</v>
      </c>
    </row>
    <row r="58" spans="1:14" ht="16" x14ac:dyDescent="0.2">
      <c r="A58" s="11" t="s">
        <v>145</v>
      </c>
      <c r="B58" s="1">
        <v>29</v>
      </c>
      <c r="C58" s="1"/>
      <c r="D58" s="1">
        <f>'IL-10'!I57</f>
        <v>1.3390409123251921</v>
      </c>
      <c r="E58" s="1">
        <f>'IL-12p70'!I57</f>
        <v>16.1599349487953</v>
      </c>
      <c r="F58">
        <f>'IL-1b'!I57</f>
        <v>1.9239196544367281</v>
      </c>
      <c r="G58">
        <f>'IL-2'!I57</f>
        <v>1.3867244313799021</v>
      </c>
      <c r="H58">
        <f>'IL-4'!I57</f>
        <v>0.76658784173390804</v>
      </c>
      <c r="I58">
        <f>'IL-5'!I57</f>
        <v>2.29427847216148</v>
      </c>
      <c r="J58">
        <f>'IL-6'!I57</f>
        <v>12.904976266379821</v>
      </c>
      <c r="K58">
        <f>KCGRO!I57</f>
        <v>3.8361902244231199</v>
      </c>
      <c r="L58">
        <f>TNFa!I57</f>
        <v>2.7931054217357199</v>
      </c>
      <c r="M58" s="1" t="s">
        <v>132</v>
      </c>
      <c r="N58">
        <v>8.5</v>
      </c>
    </row>
    <row r="59" spans="1:14" ht="16" x14ac:dyDescent="0.2">
      <c r="A59" s="11" t="s">
        <v>148</v>
      </c>
      <c r="B59" s="1">
        <v>30</v>
      </c>
      <c r="C59" s="1">
        <f>IFNg!I58</f>
        <v>0.64268725959156803</v>
      </c>
      <c r="D59" s="1">
        <f>'IL-10'!I58</f>
        <v>3.85344415727422</v>
      </c>
      <c r="E59" s="1">
        <f>'IL-12p70'!I58</f>
        <v>14.322261540716481</v>
      </c>
      <c r="F59">
        <f>'IL-1b'!I58</f>
        <v>5.1974138988279401</v>
      </c>
      <c r="G59">
        <f>'IL-2'!I58</f>
        <v>3.0035453567192798</v>
      </c>
      <c r="H59">
        <f>'IL-4'!I58</f>
        <v>1.3774056594177739</v>
      </c>
      <c r="I59">
        <f>'IL-5'!I58</f>
        <v>2.0579300514638401</v>
      </c>
      <c r="J59">
        <f>'IL-6'!I58</f>
        <v>20.7517720051944</v>
      </c>
      <c r="K59">
        <f>KCGRO!I58</f>
        <v>24.964609776834401</v>
      </c>
      <c r="L59">
        <f>TNFa!I58</f>
        <v>12.2139237624693</v>
      </c>
      <c r="M59" s="1" t="s">
        <v>132</v>
      </c>
      <c r="N59">
        <v>16.8</v>
      </c>
    </row>
    <row r="60" spans="1:14" ht="16" x14ac:dyDescent="0.2">
      <c r="A60" s="11" t="s">
        <v>148</v>
      </c>
      <c r="B60" s="1">
        <v>31</v>
      </c>
      <c r="C60" s="1">
        <f>IFNg!I59</f>
        <v>2.8190156350072999E-2</v>
      </c>
      <c r="D60" s="1">
        <f>'IL-10'!I59</f>
        <v>1.7162175299911919</v>
      </c>
      <c r="E60" s="1">
        <f>'IL-12p70'!I59</f>
        <v>5.5424760241024602</v>
      </c>
      <c r="F60">
        <f>'IL-1b'!I59</f>
        <v>17.685092672703199</v>
      </c>
      <c r="G60">
        <f>'IL-2'!I59</f>
        <v>1.6148835182026799</v>
      </c>
      <c r="H60">
        <f>'IL-4'!I59</f>
        <v>0.93591536015935595</v>
      </c>
      <c r="I60">
        <f>'IL-5'!I59</f>
        <v>2.63425670357024</v>
      </c>
      <c r="J60">
        <f>'IL-6'!I59</f>
        <v>25.580584967739199</v>
      </c>
      <c r="K60">
        <f>KCGRO!I59</f>
        <v>44.303250941898</v>
      </c>
      <c r="L60">
        <f>TNFa!I59</f>
        <v>3.46273763683442</v>
      </c>
      <c r="M60" s="1" t="s">
        <v>132</v>
      </c>
      <c r="N60">
        <v>42.7</v>
      </c>
    </row>
    <row r="61" spans="1:14" ht="16" x14ac:dyDescent="0.2">
      <c r="A61" s="11" t="s">
        <v>148</v>
      </c>
      <c r="B61" s="1">
        <v>32</v>
      </c>
      <c r="C61" s="1"/>
      <c r="D61" s="1">
        <f>'IL-10'!I60</f>
        <v>1.9031898709972781</v>
      </c>
      <c r="E61" s="1">
        <f>'IL-12p70'!I60</f>
        <v>6.0185684533261004</v>
      </c>
      <c r="F61">
        <f>'IL-1b'!I60</f>
        <v>3.0214126670081201</v>
      </c>
      <c r="G61">
        <f>'IL-2'!I60</f>
        <v>0.93690998535004</v>
      </c>
      <c r="H61">
        <f>'IL-4'!I60</f>
        <v>0.42009837553541401</v>
      </c>
      <c r="I61">
        <f>'IL-5'!I60</f>
        <v>1.2080678437647241</v>
      </c>
      <c r="J61">
        <f>'IL-6'!I60</f>
        <v>8.2813387385999793</v>
      </c>
      <c r="K61">
        <f>KCGRO!I60</f>
        <v>10.154243667962859</v>
      </c>
      <c r="L61">
        <f>TNFa!I60</f>
        <v>1.8854534831004519</v>
      </c>
      <c r="M61" s="1" t="s">
        <v>132</v>
      </c>
      <c r="N61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81"/>
  <sheetViews>
    <sheetView workbookViewId="0">
      <selection activeCell="H2" sqref="H2"/>
    </sheetView>
  </sheetViews>
  <sheetFormatPr baseColWidth="10" defaultColWidth="8.83203125" defaultRowHeight="15" x14ac:dyDescent="0.2"/>
  <cols>
    <col min="8" max="8" width="24.1640625" style="5" customWidth="1"/>
    <col min="9" max="9" width="11.6640625" style="5" bestFit="1" customWidth="1"/>
    <col min="10" max="10" width="15" customWidth="1"/>
    <col min="11" max="11" width="11" customWidth="1"/>
    <col min="12" max="12" width="15.33203125" customWidth="1"/>
  </cols>
  <sheetData>
    <row r="1" spans="1:15" s="2" customFormat="1" x14ac:dyDescent="0.2">
      <c r="A1" s="2" t="s">
        <v>122</v>
      </c>
      <c r="B1" s="2" t="s">
        <v>125</v>
      </c>
      <c r="C1" s="2" t="s">
        <v>133</v>
      </c>
      <c r="D1" s="2" t="s">
        <v>134</v>
      </c>
      <c r="E1" s="2" t="s">
        <v>126</v>
      </c>
      <c r="F1" s="2" t="s">
        <v>127</v>
      </c>
      <c r="G1" s="2" t="s">
        <v>123</v>
      </c>
      <c r="H1" s="3" t="s">
        <v>128</v>
      </c>
      <c r="I1" s="3" t="s">
        <v>135</v>
      </c>
      <c r="J1" s="2" t="s">
        <v>129</v>
      </c>
      <c r="K1" s="2" t="s">
        <v>130</v>
      </c>
      <c r="L1" s="2" t="s">
        <v>124</v>
      </c>
      <c r="M1" s="2" t="s">
        <v>137</v>
      </c>
    </row>
    <row r="2" spans="1:15" ht="16" x14ac:dyDescent="0.2">
      <c r="A2" s="1" t="s">
        <v>0</v>
      </c>
      <c r="B2" s="1" t="s">
        <v>1</v>
      </c>
      <c r="C2" s="1" t="s">
        <v>131</v>
      </c>
      <c r="D2" s="1">
        <v>4</v>
      </c>
      <c r="E2" s="1">
        <v>524</v>
      </c>
      <c r="F2" s="1">
        <v>524</v>
      </c>
      <c r="G2" s="1" t="s">
        <v>2</v>
      </c>
      <c r="H2" s="4">
        <v>1.1715091228207399</v>
      </c>
      <c r="I2" s="4" cm="1">
        <f t="array" ref="I2">IF(H2="NaN",NA,H2*2)</f>
        <v>2.3430182456414799</v>
      </c>
      <c r="J2" s="1">
        <v>1.1715091228207399</v>
      </c>
      <c r="K2" s="1" t="s">
        <v>2</v>
      </c>
      <c r="L2" s="1" t="s">
        <v>3</v>
      </c>
      <c r="O2" s="6"/>
    </row>
    <row r="3" spans="1:15" ht="32" x14ac:dyDescent="0.2">
      <c r="A3" s="1" t="s">
        <v>4</v>
      </c>
      <c r="B3" s="1" t="s">
        <v>5</v>
      </c>
      <c r="C3" s="1" t="s">
        <v>131</v>
      </c>
      <c r="D3" s="1">
        <v>5</v>
      </c>
      <c r="E3" s="1">
        <v>272</v>
      </c>
      <c r="F3" s="1">
        <v>272</v>
      </c>
      <c r="G3" s="1" t="s">
        <v>2</v>
      </c>
      <c r="H3" s="4">
        <v>0.35295555270095602</v>
      </c>
      <c r="I3" s="4" cm="1">
        <f t="array" ref="I3">IF(H3="NaN",NA,H3*2)</f>
        <v>0.70591110540191204</v>
      </c>
      <c r="J3" s="1">
        <v>0.35295555270095602</v>
      </c>
      <c r="K3" s="1" t="s">
        <v>2</v>
      </c>
      <c r="L3" s="1" t="s">
        <v>6</v>
      </c>
    </row>
    <row r="4" spans="1:15" ht="32" x14ac:dyDescent="0.2">
      <c r="A4" s="1" t="s">
        <v>7</v>
      </c>
      <c r="B4" s="1" t="s">
        <v>8</v>
      </c>
      <c r="C4" s="1" t="s">
        <v>131</v>
      </c>
      <c r="D4" s="1">
        <v>6</v>
      </c>
      <c r="E4" s="1">
        <v>182</v>
      </c>
      <c r="F4" s="1">
        <v>182</v>
      </c>
      <c r="G4" s="1" t="s">
        <v>2</v>
      </c>
      <c r="H4" s="4">
        <v>9.1438068911246003E-3</v>
      </c>
      <c r="I4" s="4" cm="1">
        <f t="array" ref="I4">IF(H4="NaN",NA,H4*2)</f>
        <v>1.8287613782249201E-2</v>
      </c>
      <c r="J4" s="1">
        <v>9.1438068911246003E-3</v>
      </c>
      <c r="K4" s="1" t="s">
        <v>2</v>
      </c>
      <c r="L4" s="1" t="s">
        <v>6</v>
      </c>
    </row>
    <row r="5" spans="1:15" ht="32" x14ac:dyDescent="0.2">
      <c r="A5" s="1" t="s">
        <v>9</v>
      </c>
      <c r="B5" s="1" t="s">
        <v>10</v>
      </c>
      <c r="C5" s="1" t="s">
        <v>131</v>
      </c>
      <c r="D5" s="1">
        <v>7</v>
      </c>
      <c r="E5" s="1">
        <v>228</v>
      </c>
      <c r="F5" s="1">
        <v>228</v>
      </c>
      <c r="G5" s="1" t="s">
        <v>2</v>
      </c>
      <c r="H5" s="4">
        <v>0.19490907053739701</v>
      </c>
      <c r="I5" s="4" cm="1">
        <f t="array" ref="I5">IF(H5="NaN",NA,H5*2)</f>
        <v>0.38981814107479401</v>
      </c>
      <c r="J5" s="1">
        <v>0.19490907053739701</v>
      </c>
      <c r="K5" s="1" t="s">
        <v>2</v>
      </c>
      <c r="L5" s="1" t="s">
        <v>6</v>
      </c>
    </row>
    <row r="6" spans="1:15" ht="32" x14ac:dyDescent="0.2">
      <c r="A6" s="1" t="s">
        <v>11</v>
      </c>
      <c r="B6" s="1" t="s">
        <v>12</v>
      </c>
      <c r="C6" s="1" t="s">
        <v>131</v>
      </c>
      <c r="D6" s="1">
        <v>8</v>
      </c>
      <c r="E6" s="1">
        <v>194</v>
      </c>
      <c r="F6" s="1">
        <v>194</v>
      </c>
      <c r="G6" s="1" t="s">
        <v>2</v>
      </c>
      <c r="H6" s="4">
        <v>6.2628805571152593E-2</v>
      </c>
      <c r="I6" s="4" cm="1">
        <f t="array" ref="I6">IF(H6="NaN",NA,H6*2)</f>
        <v>0.12525761114230519</v>
      </c>
      <c r="J6" s="1">
        <v>6.2628805571152593E-2</v>
      </c>
      <c r="K6" s="1" t="s">
        <v>2</v>
      </c>
      <c r="L6" s="1" t="s">
        <v>6</v>
      </c>
    </row>
    <row r="7" spans="1:15" ht="16" x14ac:dyDescent="0.2">
      <c r="A7" s="1" t="s">
        <v>13</v>
      </c>
      <c r="B7" s="1" t="s">
        <v>14</v>
      </c>
      <c r="C7" s="1" t="s">
        <v>131</v>
      </c>
      <c r="D7" s="1">
        <v>9</v>
      </c>
      <c r="E7" s="1">
        <v>475</v>
      </c>
      <c r="F7" s="1">
        <v>475</v>
      </c>
      <c r="G7" s="1" t="s">
        <v>2</v>
      </c>
      <c r="H7" s="4">
        <v>1.0188291938204701</v>
      </c>
      <c r="I7" s="4" cm="1">
        <f t="array" ref="I7">IF(H7="NaN",NA,H7*2)</f>
        <v>2.0376583876409402</v>
      </c>
      <c r="J7" s="1">
        <v>1.0188291938204701</v>
      </c>
      <c r="K7" s="1" t="s">
        <v>2</v>
      </c>
      <c r="L7" s="1" t="s">
        <v>3</v>
      </c>
    </row>
    <row r="8" spans="1:15" ht="32" x14ac:dyDescent="0.2">
      <c r="A8" s="1" t="s">
        <v>15</v>
      </c>
      <c r="B8" s="1" t="s">
        <v>16</v>
      </c>
      <c r="C8" s="1" t="s">
        <v>131</v>
      </c>
      <c r="D8" s="1">
        <v>10</v>
      </c>
      <c r="E8" s="1">
        <v>200</v>
      </c>
      <c r="F8" s="1">
        <v>200</v>
      </c>
      <c r="G8" s="1" t="s">
        <v>2</v>
      </c>
      <c r="H8" s="4">
        <v>8.7197874189201705E-2</v>
      </c>
      <c r="I8" s="4" cm="1">
        <f t="array" ref="I8">IF(H8="NaN",NA,H8*2)</f>
        <v>0.17439574837840341</v>
      </c>
      <c r="J8" s="1">
        <v>8.7197874189201705E-2</v>
      </c>
      <c r="K8" s="1" t="s">
        <v>2</v>
      </c>
      <c r="L8" s="1" t="s">
        <v>6</v>
      </c>
    </row>
    <row r="9" spans="1:15" ht="32" x14ac:dyDescent="0.2">
      <c r="A9" s="1" t="s">
        <v>17</v>
      </c>
      <c r="B9" s="1" t="s">
        <v>18</v>
      </c>
      <c r="C9" s="1" t="s">
        <v>131</v>
      </c>
      <c r="D9" s="1">
        <v>11</v>
      </c>
      <c r="E9" s="1">
        <v>142</v>
      </c>
      <c r="F9" s="1">
        <v>142</v>
      </c>
      <c r="G9" s="1" t="s">
        <v>2</v>
      </c>
      <c r="H9" s="4" t="s">
        <v>2</v>
      </c>
      <c r="I9" s="4"/>
      <c r="J9" s="1" t="s">
        <v>2</v>
      </c>
      <c r="K9" s="1" t="s">
        <v>2</v>
      </c>
      <c r="L9" s="1" t="s">
        <v>19</v>
      </c>
    </row>
    <row r="10" spans="1:15" ht="32" x14ac:dyDescent="0.2">
      <c r="A10" s="1" t="s">
        <v>20</v>
      </c>
      <c r="B10" s="1" t="s">
        <v>21</v>
      </c>
      <c r="C10" s="1" t="s">
        <v>131</v>
      </c>
      <c r="D10" s="1">
        <v>12</v>
      </c>
      <c r="E10" s="1">
        <v>336</v>
      </c>
      <c r="F10" s="1">
        <v>336</v>
      </c>
      <c r="G10" s="1" t="s">
        <v>2</v>
      </c>
      <c r="H10" s="4">
        <v>0.57084645435856596</v>
      </c>
      <c r="I10" s="4" cm="1">
        <f t="array" ref="I10">IF(H10="NaN",NA,H10*2)</f>
        <v>1.1416929087171319</v>
      </c>
      <c r="J10" s="1">
        <v>0.57084645435856596</v>
      </c>
      <c r="K10" s="1" t="s">
        <v>2</v>
      </c>
      <c r="L10" s="1" t="s">
        <v>6</v>
      </c>
    </row>
    <row r="11" spans="1:15" ht="32" x14ac:dyDescent="0.2">
      <c r="A11" s="1" t="s">
        <v>22</v>
      </c>
      <c r="B11" s="1" t="s">
        <v>23</v>
      </c>
      <c r="C11" s="1" t="s">
        <v>131</v>
      </c>
      <c r="D11" s="1">
        <v>13</v>
      </c>
      <c r="E11" s="1">
        <v>140</v>
      </c>
      <c r="F11" s="1">
        <v>140</v>
      </c>
      <c r="G11" s="1" t="s">
        <v>2</v>
      </c>
      <c r="H11" s="4" t="s">
        <v>2</v>
      </c>
      <c r="I11" s="4"/>
      <c r="J11" s="1" t="s">
        <v>2</v>
      </c>
      <c r="K11" s="1" t="s">
        <v>2</v>
      </c>
      <c r="L11" s="1" t="s">
        <v>19</v>
      </c>
    </row>
    <row r="12" spans="1:15" ht="32" x14ac:dyDescent="0.2">
      <c r="A12" s="1" t="s">
        <v>24</v>
      </c>
      <c r="B12" s="1" t="s">
        <v>25</v>
      </c>
      <c r="C12" s="1" t="s">
        <v>131</v>
      </c>
      <c r="D12" s="1">
        <v>14</v>
      </c>
      <c r="E12" s="1">
        <v>217</v>
      </c>
      <c r="F12" s="1">
        <v>217</v>
      </c>
      <c r="G12" s="1" t="s">
        <v>2</v>
      </c>
      <c r="H12" s="4">
        <v>0.153581090863604</v>
      </c>
      <c r="I12" s="4" cm="1">
        <f t="array" ref="I12">IF(H12="NaN",NA,H12*2)</f>
        <v>0.30716218172720799</v>
      </c>
      <c r="J12" s="1">
        <v>0.153581090863604</v>
      </c>
      <c r="K12" s="1" t="s">
        <v>2</v>
      </c>
      <c r="L12" s="1" t="s">
        <v>6</v>
      </c>
    </row>
    <row r="13" spans="1:15" ht="32" x14ac:dyDescent="0.2">
      <c r="A13" s="1" t="s">
        <v>26</v>
      </c>
      <c r="B13" s="1" t="s">
        <v>27</v>
      </c>
      <c r="C13" s="1" t="s">
        <v>131</v>
      </c>
      <c r="D13" s="1">
        <v>15</v>
      </c>
      <c r="E13" s="1">
        <v>190</v>
      </c>
      <c r="F13" s="1">
        <v>190</v>
      </c>
      <c r="G13" s="1" t="s">
        <v>2</v>
      </c>
      <c r="H13" s="4">
        <v>4.5700579282710402E-2</v>
      </c>
      <c r="I13" s="4" cm="1">
        <f t="array" ref="I13">IF(H13="NaN",NA,H13*2)</f>
        <v>9.1401158565420804E-2</v>
      </c>
      <c r="J13" s="1">
        <v>4.5700579282710402E-2</v>
      </c>
      <c r="K13" s="1" t="s">
        <v>2</v>
      </c>
      <c r="L13" s="1" t="s">
        <v>6</v>
      </c>
    </row>
    <row r="14" spans="1:15" ht="32" x14ac:dyDescent="0.2">
      <c r="A14" s="1" t="s">
        <v>28</v>
      </c>
      <c r="B14" s="1" t="s">
        <v>29</v>
      </c>
      <c r="C14" s="1" t="s">
        <v>131</v>
      </c>
      <c r="D14" s="1">
        <v>16</v>
      </c>
      <c r="E14" s="1">
        <v>227</v>
      </c>
      <c r="F14" s="1">
        <v>227</v>
      </c>
      <c r="G14" s="1" t="s">
        <v>2</v>
      </c>
      <c r="H14" s="4">
        <v>0.191191748799069</v>
      </c>
      <c r="I14" s="4" cm="1">
        <f t="array" ref="I14">IF(H14="NaN",NA,H14*2)</f>
        <v>0.382383497598138</v>
      </c>
      <c r="J14" s="1">
        <v>0.191191748799069</v>
      </c>
      <c r="K14" s="1" t="s">
        <v>2</v>
      </c>
      <c r="L14" s="1" t="s">
        <v>6</v>
      </c>
    </row>
    <row r="15" spans="1:15" ht="32" x14ac:dyDescent="0.2">
      <c r="A15" s="1" t="s">
        <v>30</v>
      </c>
      <c r="B15" s="1" t="s">
        <v>31</v>
      </c>
      <c r="C15" s="1" t="s">
        <v>131</v>
      </c>
      <c r="D15" s="1">
        <v>17</v>
      </c>
      <c r="E15" s="1">
        <v>226</v>
      </c>
      <c r="F15" s="1">
        <v>226</v>
      </c>
      <c r="G15" s="1" t="s">
        <v>2</v>
      </c>
      <c r="H15" s="4">
        <v>0.18746705856388901</v>
      </c>
      <c r="I15" s="4" cm="1">
        <f t="array" ref="I15">IF(H15="NaN",NA,H15*2)</f>
        <v>0.37493411712777802</v>
      </c>
      <c r="J15" s="1">
        <v>0.18746705856388901</v>
      </c>
      <c r="K15" s="1" t="s">
        <v>2</v>
      </c>
      <c r="L15" s="1" t="s">
        <v>6</v>
      </c>
    </row>
    <row r="16" spans="1:15" ht="16" x14ac:dyDescent="0.2">
      <c r="A16" s="1" t="s">
        <v>32</v>
      </c>
      <c r="B16" s="1" t="s">
        <v>33</v>
      </c>
      <c r="C16" s="1" t="s">
        <v>131</v>
      </c>
      <c r="D16" s="1">
        <v>18</v>
      </c>
      <c r="E16" s="1">
        <v>405</v>
      </c>
      <c r="F16" s="1">
        <v>405</v>
      </c>
      <c r="G16" s="1" t="s">
        <v>2</v>
      </c>
      <c r="H16" s="4">
        <v>0.79647527749060798</v>
      </c>
      <c r="I16" s="4" cm="1">
        <f t="array" ref="I16">IF(H16="NaN",NA,H16*2)</f>
        <v>1.592950554981216</v>
      </c>
      <c r="J16" s="1">
        <v>0.79647527749060798</v>
      </c>
      <c r="K16" s="1" t="s">
        <v>2</v>
      </c>
      <c r="L16" s="1" t="s">
        <v>3</v>
      </c>
    </row>
    <row r="17" spans="1:13" ht="32" x14ac:dyDescent="0.2">
      <c r="A17" s="1" t="s">
        <v>34</v>
      </c>
      <c r="B17" s="1" t="s">
        <v>35</v>
      </c>
      <c r="C17" s="1" t="s">
        <v>131</v>
      </c>
      <c r="D17" s="1">
        <v>19</v>
      </c>
      <c r="E17" s="1">
        <v>248</v>
      </c>
      <c r="F17" s="1">
        <v>248</v>
      </c>
      <c r="G17" s="1" t="s">
        <v>2</v>
      </c>
      <c r="H17" s="4">
        <v>0.26792472388348498</v>
      </c>
      <c r="I17" s="4" cm="1">
        <f t="array" ref="I17">IF(H17="NaN",NA,H17*2)</f>
        <v>0.53584944776696997</v>
      </c>
      <c r="J17" s="1">
        <v>0.26792472388348498</v>
      </c>
      <c r="K17" s="1" t="s">
        <v>2</v>
      </c>
      <c r="L17" s="1" t="s">
        <v>6</v>
      </c>
    </row>
    <row r="18" spans="1:13" ht="32" x14ac:dyDescent="0.2">
      <c r="A18" s="1" t="s">
        <v>36</v>
      </c>
      <c r="B18" s="1" t="s">
        <v>37</v>
      </c>
      <c r="C18" s="1" t="s">
        <v>131</v>
      </c>
      <c r="D18" s="1">
        <v>20</v>
      </c>
      <c r="E18" s="1">
        <v>251</v>
      </c>
      <c r="F18" s="1">
        <v>251</v>
      </c>
      <c r="G18" s="1" t="s">
        <v>2</v>
      </c>
      <c r="H18" s="4">
        <v>0.278689200193174</v>
      </c>
      <c r="I18" s="4" cm="1">
        <f t="array" ref="I18">IF(H18="NaN",NA,H18*2)</f>
        <v>0.55737840038634801</v>
      </c>
      <c r="J18" s="1">
        <v>0.278689200193174</v>
      </c>
      <c r="K18" s="1" t="s">
        <v>2</v>
      </c>
      <c r="L18" s="1" t="s">
        <v>6</v>
      </c>
    </row>
    <row r="19" spans="1:13" ht="32" x14ac:dyDescent="0.2">
      <c r="A19" s="1" t="s">
        <v>38</v>
      </c>
      <c r="B19" s="1" t="s">
        <v>39</v>
      </c>
      <c r="C19" s="1" t="s">
        <v>131</v>
      </c>
      <c r="D19" s="1">
        <v>21</v>
      </c>
      <c r="E19" s="1">
        <v>278</v>
      </c>
      <c r="F19" s="1">
        <v>278</v>
      </c>
      <c r="G19" s="1" t="s">
        <v>2</v>
      </c>
      <c r="H19" s="4">
        <v>0.37386952321951</v>
      </c>
      <c r="I19" s="4" cm="1">
        <f t="array" ref="I19">IF(H19="NaN",NA,H19*2)</f>
        <v>0.74773904643902001</v>
      </c>
      <c r="J19" s="1">
        <v>0.37386952321951</v>
      </c>
      <c r="K19" s="1" t="s">
        <v>2</v>
      </c>
      <c r="L19" s="1" t="s">
        <v>6</v>
      </c>
    </row>
    <row r="20" spans="1:13" ht="32" x14ac:dyDescent="0.2">
      <c r="A20" s="1" t="s">
        <v>40</v>
      </c>
      <c r="B20" s="1" t="s">
        <v>41</v>
      </c>
      <c r="C20" s="1" t="s">
        <v>131</v>
      </c>
      <c r="D20" s="1">
        <v>22</v>
      </c>
      <c r="E20" s="1">
        <v>175</v>
      </c>
      <c r="F20" s="1">
        <v>175</v>
      </c>
      <c r="G20" s="1" t="s">
        <v>2</v>
      </c>
      <c r="H20" s="4" t="s">
        <v>2</v>
      </c>
      <c r="I20" s="4"/>
      <c r="J20" s="1" t="s">
        <v>2</v>
      </c>
      <c r="K20" s="1" t="s">
        <v>2</v>
      </c>
      <c r="L20" s="1" t="s">
        <v>19</v>
      </c>
    </row>
    <row r="21" spans="1:13" ht="16" x14ac:dyDescent="0.2">
      <c r="A21" s="1" t="s">
        <v>42</v>
      </c>
      <c r="B21" s="1" t="s">
        <v>43</v>
      </c>
      <c r="C21" s="1" t="s">
        <v>131</v>
      </c>
      <c r="D21" s="1">
        <v>23</v>
      </c>
      <c r="E21" s="1">
        <v>486</v>
      </c>
      <c r="F21" s="1">
        <v>486</v>
      </c>
      <c r="G21" s="1" t="s">
        <v>2</v>
      </c>
      <c r="H21" s="4">
        <v>1.0532957680770301</v>
      </c>
      <c r="I21" s="4" cm="1">
        <f t="array" ref="I21">IF(H21="NaN",NA,H21*2)</f>
        <v>2.1065915361540601</v>
      </c>
      <c r="J21" s="1">
        <v>1.0532957680770301</v>
      </c>
      <c r="K21" s="1" t="s">
        <v>2</v>
      </c>
      <c r="L21" s="1" t="s">
        <v>3</v>
      </c>
    </row>
    <row r="22" spans="1:13" ht="16" x14ac:dyDescent="0.2">
      <c r="A22" s="1" t="s">
        <v>44</v>
      </c>
      <c r="B22" s="1" t="s">
        <v>45</v>
      </c>
      <c r="C22" s="1" t="s">
        <v>131</v>
      </c>
      <c r="D22" s="1">
        <v>24</v>
      </c>
      <c r="E22" s="1">
        <v>542</v>
      </c>
      <c r="F22" s="1">
        <v>542</v>
      </c>
      <c r="G22" s="1" t="s">
        <v>2</v>
      </c>
      <c r="H22" s="4">
        <v>1.2270764404571799</v>
      </c>
      <c r="I22" s="4" cm="1">
        <f t="array" ref="I22">IF(H22="NaN",NA,H22*2)</f>
        <v>2.4541528809143598</v>
      </c>
      <c r="J22" s="1">
        <v>1.2270764404571799</v>
      </c>
      <c r="K22" s="1" t="s">
        <v>2</v>
      </c>
      <c r="L22" s="1" t="s">
        <v>3</v>
      </c>
    </row>
    <row r="23" spans="1:13" ht="32" x14ac:dyDescent="0.2">
      <c r="A23" s="1" t="s">
        <v>46</v>
      </c>
      <c r="B23" s="1" t="s">
        <v>47</v>
      </c>
      <c r="C23" s="1" t="s">
        <v>131</v>
      </c>
      <c r="D23" s="1">
        <v>25</v>
      </c>
      <c r="E23" s="1">
        <v>203</v>
      </c>
      <c r="F23" s="1">
        <v>203</v>
      </c>
      <c r="G23" s="1" t="s">
        <v>2</v>
      </c>
      <c r="H23" s="4">
        <v>9.9208178906764199E-2</v>
      </c>
      <c r="I23" s="4" cm="1">
        <f t="array" ref="I23">IF(H23="NaN",NA,H23*2)</f>
        <v>0.1984163578135284</v>
      </c>
      <c r="J23" s="1">
        <v>9.9208178906764199E-2</v>
      </c>
      <c r="K23" s="1" t="s">
        <v>2</v>
      </c>
      <c r="L23" s="1" t="s">
        <v>6</v>
      </c>
    </row>
    <row r="24" spans="1:13" ht="32" x14ac:dyDescent="0.2">
      <c r="A24" s="1" t="s">
        <v>48</v>
      </c>
      <c r="B24" s="1" t="s">
        <v>49</v>
      </c>
      <c r="C24" s="1" t="s">
        <v>131</v>
      </c>
      <c r="D24" s="1">
        <v>26</v>
      </c>
      <c r="E24" s="1">
        <v>205</v>
      </c>
      <c r="F24" s="1">
        <v>205</v>
      </c>
      <c r="G24" s="1" t="s">
        <v>2</v>
      </c>
      <c r="H24" s="4">
        <v>0.10713238005202901</v>
      </c>
      <c r="I24" s="4" cm="1">
        <f t="array" ref="I24">IF(H24="NaN",NA,H24*2)</f>
        <v>0.21426476010405801</v>
      </c>
      <c r="J24" s="1">
        <v>0.10713238005202901</v>
      </c>
      <c r="K24" s="1" t="s">
        <v>2</v>
      </c>
      <c r="L24" s="1" t="s">
        <v>6</v>
      </c>
    </row>
    <row r="25" spans="1:13" ht="16" x14ac:dyDescent="0.2">
      <c r="A25" s="1" t="s">
        <v>50</v>
      </c>
      <c r="B25" s="1" t="s">
        <v>51</v>
      </c>
      <c r="C25" s="1" t="s">
        <v>131</v>
      </c>
      <c r="D25" s="1">
        <v>27</v>
      </c>
      <c r="E25" s="1">
        <v>489</v>
      </c>
      <c r="F25" s="1">
        <v>489</v>
      </c>
      <c r="G25" s="1" t="s">
        <v>2</v>
      </c>
      <c r="H25" s="4">
        <v>1.0626757140887599</v>
      </c>
      <c r="I25" s="4" cm="1">
        <f t="array" ref="I25">IF(H25="NaN",NA,H25*2)</f>
        <v>2.1253514281775199</v>
      </c>
      <c r="J25" s="1">
        <v>1.0626757140887599</v>
      </c>
      <c r="K25" s="1" t="s">
        <v>2</v>
      </c>
      <c r="L25" s="1" t="s">
        <v>3</v>
      </c>
    </row>
    <row r="26" spans="1:13" ht="32" x14ac:dyDescent="0.2">
      <c r="A26" s="1" t="s">
        <v>52</v>
      </c>
      <c r="B26" s="1" t="s">
        <v>53</v>
      </c>
      <c r="C26" s="1" t="s">
        <v>131</v>
      </c>
      <c r="D26" s="1">
        <v>28</v>
      </c>
      <c r="E26" s="1">
        <v>268</v>
      </c>
      <c r="F26" s="1">
        <v>268</v>
      </c>
      <c r="G26" s="1" t="s">
        <v>2</v>
      </c>
      <c r="H26" s="4">
        <v>0.338942969138537</v>
      </c>
      <c r="I26" s="4" cm="1">
        <f t="array" ref="I26">IF(H26="NaN",NA,H26*2)</f>
        <v>0.677885938277074</v>
      </c>
      <c r="J26" s="1">
        <v>0.338942969138537</v>
      </c>
      <c r="K26" s="1" t="s">
        <v>2</v>
      </c>
      <c r="L26" s="1" t="s">
        <v>6</v>
      </c>
    </row>
    <row r="27" spans="1:13" ht="32" x14ac:dyDescent="0.2">
      <c r="A27" s="1" t="s">
        <v>54</v>
      </c>
      <c r="B27" s="1" t="s">
        <v>55</v>
      </c>
      <c r="C27" s="1" t="s">
        <v>131</v>
      </c>
      <c r="D27" s="1">
        <v>29</v>
      </c>
      <c r="E27" s="1">
        <v>225</v>
      </c>
      <c r="F27" s="1">
        <v>225</v>
      </c>
      <c r="G27" s="1" t="s">
        <v>2</v>
      </c>
      <c r="H27" s="4">
        <v>0.18373482323920301</v>
      </c>
      <c r="I27" s="4" cm="1">
        <f t="array" ref="I27">IF(H27="NaN",NA,H27*2)</f>
        <v>0.36746964647840602</v>
      </c>
      <c r="J27" s="1">
        <v>0.18373482323920301</v>
      </c>
      <c r="K27" s="1" t="s">
        <v>2</v>
      </c>
      <c r="L27" s="1" t="s">
        <v>6</v>
      </c>
    </row>
    <row r="28" spans="1:13" ht="32" x14ac:dyDescent="0.2">
      <c r="A28" s="1" t="s">
        <v>56</v>
      </c>
      <c r="B28" s="1" t="s">
        <v>57</v>
      </c>
      <c r="C28" s="1" t="s">
        <v>131</v>
      </c>
      <c r="D28" s="1">
        <v>30</v>
      </c>
      <c r="E28" s="1">
        <v>296</v>
      </c>
      <c r="F28" s="1">
        <v>296</v>
      </c>
      <c r="G28" s="1" t="s">
        <v>2</v>
      </c>
      <c r="H28" s="4">
        <v>0.435930028669404</v>
      </c>
      <c r="I28" s="4" cm="1">
        <f t="array" ref="I28">IF(H28="NaN",NA,H28*2)</f>
        <v>0.871860057338808</v>
      </c>
      <c r="J28" s="1">
        <v>0.435930028669404</v>
      </c>
      <c r="K28" s="1" t="s">
        <v>2</v>
      </c>
      <c r="L28" s="1" t="s">
        <v>6</v>
      </c>
    </row>
    <row r="29" spans="1:13" ht="32" x14ac:dyDescent="0.2">
      <c r="A29" s="1" t="s">
        <v>58</v>
      </c>
      <c r="B29" s="1" t="s">
        <v>59</v>
      </c>
      <c r="C29" s="1" t="s">
        <v>131</v>
      </c>
      <c r="D29" s="1">
        <v>31</v>
      </c>
      <c r="E29" s="1">
        <v>307</v>
      </c>
      <c r="F29" s="1">
        <v>307</v>
      </c>
      <c r="G29" s="1" t="s">
        <v>2</v>
      </c>
      <c r="H29" s="4">
        <v>0.47340886978922803</v>
      </c>
      <c r="I29" s="4" cm="1">
        <f t="array" ref="I29">IF(H29="NaN",NA,H29*2)</f>
        <v>0.94681773957845605</v>
      </c>
      <c r="J29" s="1">
        <v>0.47340886978922803</v>
      </c>
      <c r="K29" s="1" t="s">
        <v>2</v>
      </c>
      <c r="L29" s="1" t="s">
        <v>6</v>
      </c>
    </row>
    <row r="30" spans="1:13" ht="32" x14ac:dyDescent="0.2">
      <c r="A30" s="1" t="s">
        <v>60</v>
      </c>
      <c r="B30" s="1" t="s">
        <v>61</v>
      </c>
      <c r="C30" s="1" t="s">
        <v>131</v>
      </c>
      <c r="D30" s="1">
        <v>32</v>
      </c>
      <c r="E30" s="1">
        <v>205</v>
      </c>
      <c r="F30" s="1">
        <v>205</v>
      </c>
      <c r="G30" s="1" t="s">
        <v>2</v>
      </c>
      <c r="H30" s="4">
        <v>0.10713238005202901</v>
      </c>
      <c r="I30" s="4" cm="1">
        <f t="array" ref="I30">IF(H30="NaN",NA,H30*2)</f>
        <v>0.21426476010405801</v>
      </c>
      <c r="J30" s="1">
        <v>0.10713238005202901</v>
      </c>
      <c r="K30" s="1" t="s">
        <v>2</v>
      </c>
      <c r="L30" s="1" t="s">
        <v>6</v>
      </c>
    </row>
    <row r="31" spans="1:13" ht="32" x14ac:dyDescent="0.2">
      <c r="A31" s="1" t="s">
        <v>62</v>
      </c>
      <c r="B31" s="1" t="s">
        <v>63</v>
      </c>
      <c r="C31" s="1" t="s">
        <v>132</v>
      </c>
      <c r="D31" s="1">
        <v>3</v>
      </c>
      <c r="E31" s="1">
        <v>153</v>
      </c>
      <c r="F31" s="1">
        <v>153</v>
      </c>
      <c r="G31" s="1" t="s">
        <v>2</v>
      </c>
      <c r="H31" s="4" t="s">
        <v>2</v>
      </c>
      <c r="I31" s="4"/>
      <c r="J31" s="1" t="s">
        <v>2</v>
      </c>
      <c r="K31" s="1" t="s">
        <v>2</v>
      </c>
      <c r="L31" s="1" t="s">
        <v>19</v>
      </c>
      <c r="M31">
        <v>35</v>
      </c>
    </row>
    <row r="32" spans="1:13" ht="32" x14ac:dyDescent="0.2">
      <c r="A32" s="1" t="s">
        <v>64</v>
      </c>
      <c r="B32" s="1" t="s">
        <v>65</v>
      </c>
      <c r="C32" s="1" t="s">
        <v>132</v>
      </c>
      <c r="D32" s="1">
        <v>4</v>
      </c>
      <c r="E32" s="1">
        <v>163</v>
      </c>
      <c r="F32" s="1">
        <v>163</v>
      </c>
      <c r="G32" s="1" t="s">
        <v>2</v>
      </c>
      <c r="H32" s="4" t="s">
        <v>2</v>
      </c>
      <c r="I32" s="4"/>
      <c r="J32" s="1" t="s">
        <v>2</v>
      </c>
      <c r="K32" s="1" t="s">
        <v>2</v>
      </c>
      <c r="L32" s="1" t="s">
        <v>19</v>
      </c>
      <c r="M32">
        <v>11</v>
      </c>
    </row>
    <row r="33" spans="1:13" ht="32" x14ac:dyDescent="0.2">
      <c r="A33" s="1" t="s">
        <v>66</v>
      </c>
      <c r="B33" s="1" t="s">
        <v>67</v>
      </c>
      <c r="C33" s="1" t="s">
        <v>132</v>
      </c>
      <c r="D33" s="1">
        <v>5</v>
      </c>
      <c r="E33" s="1">
        <v>175</v>
      </c>
      <c r="F33" s="1">
        <v>175</v>
      </c>
      <c r="G33" s="1" t="s">
        <v>2</v>
      </c>
      <c r="H33" s="4" t="s">
        <v>2</v>
      </c>
      <c r="I33" s="4"/>
      <c r="J33" s="1" t="s">
        <v>2</v>
      </c>
      <c r="K33" s="1" t="s">
        <v>2</v>
      </c>
      <c r="L33" s="1" t="s">
        <v>19</v>
      </c>
      <c r="M33">
        <v>13</v>
      </c>
    </row>
    <row r="34" spans="1:13" ht="32" x14ac:dyDescent="0.2">
      <c r="A34" s="1" t="s">
        <v>68</v>
      </c>
      <c r="B34" s="1" t="s">
        <v>69</v>
      </c>
      <c r="C34" s="1" t="s">
        <v>132</v>
      </c>
      <c r="D34" s="1">
        <v>6</v>
      </c>
      <c r="E34" s="1">
        <v>146</v>
      </c>
      <c r="F34" s="1">
        <v>146</v>
      </c>
      <c r="G34" s="1" t="s">
        <v>2</v>
      </c>
      <c r="H34" s="4" t="s">
        <v>2</v>
      </c>
      <c r="I34" s="4"/>
      <c r="J34" s="1" t="s">
        <v>2</v>
      </c>
      <c r="K34" s="1" t="s">
        <v>2</v>
      </c>
      <c r="L34" s="1" t="s">
        <v>19</v>
      </c>
      <c r="M34">
        <v>9.6999999999999993</v>
      </c>
    </row>
    <row r="35" spans="1:13" ht="32" x14ac:dyDescent="0.2">
      <c r="A35" s="1" t="s">
        <v>70</v>
      </c>
      <c r="B35" s="1" t="s">
        <v>71</v>
      </c>
      <c r="C35" s="1" t="s">
        <v>132</v>
      </c>
      <c r="D35" s="1">
        <v>7</v>
      </c>
      <c r="E35" s="1">
        <v>170</v>
      </c>
      <c r="F35" s="1">
        <v>170</v>
      </c>
      <c r="G35" s="1" t="s">
        <v>2</v>
      </c>
      <c r="H35" s="4" t="s">
        <v>2</v>
      </c>
      <c r="I35" s="4"/>
      <c r="J35" s="1" t="s">
        <v>2</v>
      </c>
      <c r="K35" s="1" t="s">
        <v>2</v>
      </c>
      <c r="L35" s="1" t="s">
        <v>19</v>
      </c>
      <c r="M35">
        <v>16.5</v>
      </c>
    </row>
    <row r="36" spans="1:13" ht="32" x14ac:dyDescent="0.2">
      <c r="A36" s="1" t="s">
        <v>72</v>
      </c>
      <c r="B36" s="1" t="s">
        <v>73</v>
      </c>
      <c r="C36" s="1" t="s">
        <v>132</v>
      </c>
      <c r="D36" s="1">
        <v>8</v>
      </c>
      <c r="E36" s="1">
        <v>154</v>
      </c>
      <c r="F36" s="1">
        <v>154</v>
      </c>
      <c r="G36" s="1" t="s">
        <v>2</v>
      </c>
      <c r="H36" s="4" t="s">
        <v>2</v>
      </c>
      <c r="I36" s="4"/>
      <c r="J36" s="1" t="s">
        <v>2</v>
      </c>
      <c r="K36" s="1" t="s">
        <v>2</v>
      </c>
      <c r="L36" s="1" t="s">
        <v>19</v>
      </c>
      <c r="M36">
        <v>10.199999999999999</v>
      </c>
    </row>
    <row r="37" spans="1:13" ht="32" x14ac:dyDescent="0.2">
      <c r="A37" s="1" t="s">
        <v>74</v>
      </c>
      <c r="B37" s="1" t="s">
        <v>75</v>
      </c>
      <c r="C37" s="1" t="s">
        <v>132</v>
      </c>
      <c r="D37" s="1">
        <v>9</v>
      </c>
      <c r="E37" s="1">
        <v>143</v>
      </c>
      <c r="F37" s="1">
        <v>143</v>
      </c>
      <c r="G37" s="1" t="s">
        <v>2</v>
      </c>
      <c r="H37" s="4" t="s">
        <v>2</v>
      </c>
      <c r="I37" s="4"/>
      <c r="J37" s="1" t="s">
        <v>2</v>
      </c>
      <c r="K37" s="1" t="s">
        <v>2</v>
      </c>
      <c r="L37" s="1" t="s">
        <v>19</v>
      </c>
      <c r="M37">
        <v>2.2000000000000002</v>
      </c>
    </row>
    <row r="38" spans="1:13" ht="32" x14ac:dyDescent="0.2">
      <c r="A38" s="1" t="s">
        <v>76</v>
      </c>
      <c r="B38" s="1" t="s">
        <v>77</v>
      </c>
      <c r="C38" s="1" t="s">
        <v>132</v>
      </c>
      <c r="D38" s="1">
        <v>10</v>
      </c>
      <c r="E38" s="1">
        <v>151</v>
      </c>
      <c r="F38" s="1">
        <v>151</v>
      </c>
      <c r="G38" s="1" t="s">
        <v>2</v>
      </c>
      <c r="H38" s="4" t="s">
        <v>2</v>
      </c>
      <c r="I38" s="4"/>
      <c r="J38" s="1" t="s">
        <v>2</v>
      </c>
      <c r="K38" s="1" t="s">
        <v>2</v>
      </c>
      <c r="L38" s="1" t="s">
        <v>19</v>
      </c>
      <c r="M38">
        <v>15.4</v>
      </c>
    </row>
    <row r="39" spans="1:13" ht="32" x14ac:dyDescent="0.2">
      <c r="A39" s="1" t="s">
        <v>78</v>
      </c>
      <c r="B39" s="1" t="s">
        <v>79</v>
      </c>
      <c r="C39" s="1" t="s">
        <v>132</v>
      </c>
      <c r="D39" s="1">
        <v>11</v>
      </c>
      <c r="E39" s="1">
        <v>164</v>
      </c>
      <c r="F39" s="1">
        <v>164</v>
      </c>
      <c r="G39" s="1" t="s">
        <v>2</v>
      </c>
      <c r="H39" s="4" t="s">
        <v>2</v>
      </c>
      <c r="I39" s="4"/>
      <c r="J39" s="1" t="s">
        <v>2</v>
      </c>
      <c r="K39" s="1" t="s">
        <v>2</v>
      </c>
      <c r="L39" s="1" t="s">
        <v>19</v>
      </c>
      <c r="M39">
        <v>9.8000000000000007</v>
      </c>
    </row>
    <row r="40" spans="1:13" ht="32" x14ac:dyDescent="0.2">
      <c r="A40" s="1" t="s">
        <v>80</v>
      </c>
      <c r="B40" s="1" t="s">
        <v>81</v>
      </c>
      <c r="C40" s="1" t="s">
        <v>132</v>
      </c>
      <c r="D40" s="1">
        <v>12</v>
      </c>
      <c r="E40" s="1">
        <v>170</v>
      </c>
      <c r="F40" s="1">
        <v>170</v>
      </c>
      <c r="G40" s="1" t="s">
        <v>2</v>
      </c>
      <c r="H40" s="4" t="s">
        <v>2</v>
      </c>
      <c r="I40" s="4"/>
      <c r="J40" s="1" t="s">
        <v>2</v>
      </c>
      <c r="K40" s="1" t="s">
        <v>2</v>
      </c>
      <c r="L40" s="1" t="s">
        <v>19</v>
      </c>
      <c r="M40">
        <v>13.5</v>
      </c>
    </row>
    <row r="41" spans="1:13" ht="32" x14ac:dyDescent="0.2">
      <c r="A41" s="1" t="s">
        <v>82</v>
      </c>
      <c r="B41" s="1" t="s">
        <v>83</v>
      </c>
      <c r="C41" s="1" t="s">
        <v>132</v>
      </c>
      <c r="D41" s="1">
        <v>13</v>
      </c>
      <c r="E41" s="1">
        <v>160</v>
      </c>
      <c r="F41" s="1">
        <v>160</v>
      </c>
      <c r="G41" s="1" t="s">
        <v>2</v>
      </c>
      <c r="H41" s="4" t="s">
        <v>2</v>
      </c>
      <c r="I41" s="4"/>
      <c r="J41" s="1" t="s">
        <v>2</v>
      </c>
      <c r="K41" s="1" t="s">
        <v>2</v>
      </c>
      <c r="L41" s="1" t="s">
        <v>19</v>
      </c>
      <c r="M41">
        <v>12.6</v>
      </c>
    </row>
    <row r="42" spans="1:13" ht="32" x14ac:dyDescent="0.2">
      <c r="A42" s="1" t="s">
        <v>84</v>
      </c>
      <c r="B42" s="1" t="s">
        <v>85</v>
      </c>
      <c r="C42" s="1" t="s">
        <v>132</v>
      </c>
      <c r="D42" s="1">
        <v>14</v>
      </c>
      <c r="E42" s="1">
        <v>165</v>
      </c>
      <c r="F42" s="1">
        <v>165</v>
      </c>
      <c r="G42" s="1" t="s">
        <v>2</v>
      </c>
      <c r="H42" s="4" t="s">
        <v>2</v>
      </c>
      <c r="I42" s="4"/>
      <c r="J42" s="1" t="s">
        <v>2</v>
      </c>
      <c r="K42" s="1" t="s">
        <v>2</v>
      </c>
      <c r="L42" s="1" t="s">
        <v>19</v>
      </c>
      <c r="M42">
        <v>7.6</v>
      </c>
    </row>
    <row r="43" spans="1:13" ht="32" x14ac:dyDescent="0.2">
      <c r="A43" s="1" t="s">
        <v>86</v>
      </c>
      <c r="B43" s="1" t="s">
        <v>87</v>
      </c>
      <c r="C43" s="1" t="s">
        <v>132</v>
      </c>
      <c r="D43" s="1">
        <v>15</v>
      </c>
      <c r="E43" s="1">
        <v>168</v>
      </c>
      <c r="F43" s="1">
        <v>168</v>
      </c>
      <c r="G43" s="1" t="s">
        <v>2</v>
      </c>
      <c r="H43" s="4" t="s">
        <v>2</v>
      </c>
      <c r="I43" s="4"/>
      <c r="J43" s="1" t="s">
        <v>2</v>
      </c>
      <c r="K43" s="1" t="s">
        <v>2</v>
      </c>
      <c r="L43" s="1" t="s">
        <v>19</v>
      </c>
      <c r="M43">
        <v>9</v>
      </c>
    </row>
    <row r="44" spans="1:13" ht="32" x14ac:dyDescent="0.2">
      <c r="A44" s="1" t="s">
        <v>88</v>
      </c>
      <c r="B44" s="1" t="s">
        <v>89</v>
      </c>
      <c r="C44" s="1" t="s">
        <v>132</v>
      </c>
      <c r="D44" s="1">
        <v>16</v>
      </c>
      <c r="E44" s="1">
        <v>154</v>
      </c>
      <c r="F44" s="1">
        <v>154</v>
      </c>
      <c r="G44" s="1" t="s">
        <v>2</v>
      </c>
      <c r="H44" s="4" t="s">
        <v>2</v>
      </c>
      <c r="I44" s="4"/>
      <c r="J44" s="1" t="s">
        <v>2</v>
      </c>
      <c r="K44" s="1" t="s">
        <v>2</v>
      </c>
      <c r="L44" s="1" t="s">
        <v>19</v>
      </c>
      <c r="M44">
        <v>12</v>
      </c>
    </row>
    <row r="45" spans="1:13" ht="32" x14ac:dyDescent="0.2">
      <c r="A45" s="1" t="s">
        <v>90</v>
      </c>
      <c r="B45" s="1" t="s">
        <v>91</v>
      </c>
      <c r="C45" s="1" t="s">
        <v>132</v>
      </c>
      <c r="D45" s="1">
        <v>17</v>
      </c>
      <c r="E45" s="1">
        <v>201</v>
      </c>
      <c r="F45" s="1">
        <v>201</v>
      </c>
      <c r="G45" s="1" t="s">
        <v>2</v>
      </c>
      <c r="H45" s="4">
        <v>9.1218968817749504E-2</v>
      </c>
      <c r="I45" s="4" cm="1">
        <f t="array" ref="I45">IF(H45="NaN",NA,H45*2)</f>
        <v>0.18243793763549901</v>
      </c>
      <c r="J45" s="1">
        <v>9.1218968817749504E-2</v>
      </c>
      <c r="K45" s="1" t="s">
        <v>2</v>
      </c>
      <c r="L45" s="1" t="s">
        <v>6</v>
      </c>
      <c r="M45">
        <v>17.399999999999999</v>
      </c>
    </row>
    <row r="46" spans="1:13" ht="32" x14ac:dyDescent="0.2">
      <c r="A46" s="1" t="s">
        <v>92</v>
      </c>
      <c r="B46" s="1" t="s">
        <v>93</v>
      </c>
      <c r="C46" s="1" t="s">
        <v>132</v>
      </c>
      <c r="D46" s="1">
        <v>18</v>
      </c>
      <c r="E46" s="1">
        <v>202</v>
      </c>
      <c r="F46" s="1">
        <v>202</v>
      </c>
      <c r="G46" s="1" t="s">
        <v>2</v>
      </c>
      <c r="H46" s="4">
        <v>9.5222101864109995E-2</v>
      </c>
      <c r="I46" s="4" cm="1">
        <f t="array" ref="I46">IF(H46="NaN",NA,H46*2)</f>
        <v>0.19044420372821999</v>
      </c>
      <c r="J46" s="1">
        <v>9.5222101864109995E-2</v>
      </c>
      <c r="K46" s="1" t="s">
        <v>2</v>
      </c>
      <c r="L46" s="1" t="s">
        <v>6</v>
      </c>
      <c r="M46">
        <v>9</v>
      </c>
    </row>
    <row r="47" spans="1:13" ht="32" x14ac:dyDescent="0.2">
      <c r="A47" s="1" t="s">
        <v>94</v>
      </c>
      <c r="B47" s="1" t="s">
        <v>95</v>
      </c>
      <c r="C47" s="1" t="s">
        <v>132</v>
      </c>
      <c r="D47" s="1">
        <v>19</v>
      </c>
      <c r="E47" s="1">
        <v>163</v>
      </c>
      <c r="F47" s="1">
        <v>163</v>
      </c>
      <c r="G47" s="1" t="s">
        <v>2</v>
      </c>
      <c r="H47" s="4" t="s">
        <v>2</v>
      </c>
      <c r="I47" s="4"/>
      <c r="J47" s="1" t="s">
        <v>2</v>
      </c>
      <c r="K47" s="1" t="s">
        <v>2</v>
      </c>
      <c r="L47" s="1" t="s">
        <v>19</v>
      </c>
      <c r="M47">
        <v>10.4</v>
      </c>
    </row>
    <row r="48" spans="1:13" ht="32" x14ac:dyDescent="0.2">
      <c r="A48" s="1" t="s">
        <v>96</v>
      </c>
      <c r="B48" s="1" t="s">
        <v>97</v>
      </c>
      <c r="C48" s="1" t="s">
        <v>132</v>
      </c>
      <c r="D48" s="1">
        <v>20</v>
      </c>
      <c r="E48" s="1">
        <v>199</v>
      </c>
      <c r="F48" s="1">
        <v>199</v>
      </c>
      <c r="G48" s="1" t="s">
        <v>2</v>
      </c>
      <c r="H48" s="4">
        <v>8.3157815597281901E-2</v>
      </c>
      <c r="I48" s="4" cm="1">
        <f t="array" ref="I48">IF(H48="NaN",NA,H48*2)</f>
        <v>0.1663156311945638</v>
      </c>
      <c r="J48" s="1">
        <v>8.3157815597281901E-2</v>
      </c>
      <c r="K48" s="1" t="s">
        <v>2</v>
      </c>
      <c r="L48" s="1" t="s">
        <v>6</v>
      </c>
      <c r="M48">
        <v>16</v>
      </c>
    </row>
    <row r="49" spans="1:13" ht="32" x14ac:dyDescent="0.2">
      <c r="A49" s="1" t="s">
        <v>98</v>
      </c>
      <c r="B49" s="1" t="s">
        <v>99</v>
      </c>
      <c r="C49" s="1" t="s">
        <v>132</v>
      </c>
      <c r="D49" s="1">
        <v>21</v>
      </c>
      <c r="E49" s="1">
        <v>166</v>
      </c>
      <c r="F49" s="1">
        <v>166</v>
      </c>
      <c r="G49" s="1" t="s">
        <v>2</v>
      </c>
      <c r="H49" s="4" t="s">
        <v>2</v>
      </c>
      <c r="I49" s="4"/>
      <c r="J49" s="1" t="s">
        <v>2</v>
      </c>
      <c r="K49" s="1" t="s">
        <v>2</v>
      </c>
      <c r="L49" s="1" t="s">
        <v>19</v>
      </c>
      <c r="M49">
        <v>20.3</v>
      </c>
    </row>
    <row r="50" spans="1:13" ht="32" x14ac:dyDescent="0.2">
      <c r="A50" s="1" t="s">
        <v>100</v>
      </c>
      <c r="B50" s="1" t="s">
        <v>101</v>
      </c>
      <c r="C50" s="1" t="s">
        <v>132</v>
      </c>
      <c r="D50" s="1">
        <v>22</v>
      </c>
      <c r="E50" s="1">
        <v>168</v>
      </c>
      <c r="F50" s="1">
        <v>168</v>
      </c>
      <c r="G50" s="1" t="s">
        <v>2</v>
      </c>
      <c r="H50" s="4" t="s">
        <v>2</v>
      </c>
      <c r="I50" s="4"/>
      <c r="J50" s="1" t="s">
        <v>2</v>
      </c>
      <c r="K50" s="1" t="s">
        <v>2</v>
      </c>
      <c r="L50" s="1" t="s">
        <v>19</v>
      </c>
      <c r="M50">
        <v>6.7</v>
      </c>
    </row>
    <row r="51" spans="1:13" ht="32" x14ac:dyDescent="0.2">
      <c r="A51" s="1" t="s">
        <v>102</v>
      </c>
      <c r="B51" s="1" t="s">
        <v>103</v>
      </c>
      <c r="C51" s="1" t="s">
        <v>132</v>
      </c>
      <c r="D51" s="1">
        <v>23</v>
      </c>
      <c r="E51" s="1">
        <v>182</v>
      </c>
      <c r="F51" s="1">
        <v>182</v>
      </c>
      <c r="G51" s="1" t="s">
        <v>2</v>
      </c>
      <c r="H51" s="4">
        <v>9.1438068911246003E-3</v>
      </c>
      <c r="I51" s="4" cm="1">
        <f t="array" ref="I51">IF(H51="NaN",NA,H51*2)</f>
        <v>1.8287613782249201E-2</v>
      </c>
      <c r="J51" s="1">
        <v>9.1438068911246003E-3</v>
      </c>
      <c r="K51" s="1" t="s">
        <v>2</v>
      </c>
      <c r="L51" s="1" t="s">
        <v>6</v>
      </c>
      <c r="M51">
        <v>15.3</v>
      </c>
    </row>
    <row r="52" spans="1:13" ht="32" x14ac:dyDescent="0.2">
      <c r="A52" s="1" t="s">
        <v>104</v>
      </c>
      <c r="B52" s="1" t="s">
        <v>105</v>
      </c>
      <c r="C52" s="1" t="s">
        <v>132</v>
      </c>
      <c r="D52" s="1">
        <v>24</v>
      </c>
      <c r="E52" s="1">
        <v>174</v>
      </c>
      <c r="F52" s="1">
        <v>174</v>
      </c>
      <c r="G52" s="1" t="s">
        <v>2</v>
      </c>
      <c r="H52" s="4" t="s">
        <v>2</v>
      </c>
      <c r="I52" s="4"/>
      <c r="J52" s="1" t="s">
        <v>2</v>
      </c>
      <c r="K52" s="1" t="s">
        <v>2</v>
      </c>
      <c r="L52" s="1" t="s">
        <v>19</v>
      </c>
      <c r="M52">
        <v>7</v>
      </c>
    </row>
    <row r="53" spans="1:13" ht="32" x14ac:dyDescent="0.2">
      <c r="A53" s="1" t="s">
        <v>106</v>
      </c>
      <c r="B53" s="1" t="s">
        <v>107</v>
      </c>
      <c r="C53" s="1" t="s">
        <v>132</v>
      </c>
      <c r="D53" s="1">
        <v>25</v>
      </c>
      <c r="E53" s="1">
        <v>177</v>
      </c>
      <c r="F53" s="1">
        <v>177</v>
      </c>
      <c r="G53" s="1" t="s">
        <v>2</v>
      </c>
      <c r="H53" s="4" t="s">
        <v>2</v>
      </c>
      <c r="I53" s="4"/>
      <c r="J53" s="1" t="s">
        <v>2</v>
      </c>
      <c r="K53" s="1" t="s">
        <v>2</v>
      </c>
      <c r="L53" s="1" t="s">
        <v>19</v>
      </c>
      <c r="M53">
        <v>6.8</v>
      </c>
    </row>
    <row r="54" spans="1:13" ht="32" x14ac:dyDescent="0.2">
      <c r="A54" s="1" t="s">
        <v>108</v>
      </c>
      <c r="B54" s="1" t="s">
        <v>109</v>
      </c>
      <c r="C54" s="1" t="s">
        <v>132</v>
      </c>
      <c r="D54" s="1">
        <v>26</v>
      </c>
      <c r="E54" s="1">
        <v>146</v>
      </c>
      <c r="F54" s="1">
        <v>146</v>
      </c>
      <c r="G54" s="1" t="s">
        <v>2</v>
      </c>
      <c r="H54" s="4" t="s">
        <v>2</v>
      </c>
      <c r="I54" s="4"/>
      <c r="J54" s="1" t="s">
        <v>2</v>
      </c>
      <c r="K54" s="1" t="s">
        <v>2</v>
      </c>
      <c r="L54" s="1" t="s">
        <v>19</v>
      </c>
      <c r="M54">
        <v>2.7</v>
      </c>
    </row>
    <row r="55" spans="1:13" ht="32" x14ac:dyDescent="0.2">
      <c r="A55" s="1" t="s">
        <v>110</v>
      </c>
      <c r="B55" s="1" t="s">
        <v>111</v>
      </c>
      <c r="C55" s="1" t="s">
        <v>132</v>
      </c>
      <c r="D55" s="1">
        <v>27</v>
      </c>
      <c r="E55" s="1">
        <v>179</v>
      </c>
      <c r="F55" s="1">
        <v>179</v>
      </c>
      <c r="G55" s="1" t="s">
        <v>2</v>
      </c>
      <c r="H55" s="4" t="s">
        <v>2</v>
      </c>
      <c r="I55" s="4"/>
      <c r="J55" s="1" t="s">
        <v>2</v>
      </c>
      <c r="K55" s="1" t="s">
        <v>2</v>
      </c>
      <c r="L55" s="1" t="s">
        <v>19</v>
      </c>
      <c r="M55">
        <v>9.8000000000000007</v>
      </c>
    </row>
    <row r="56" spans="1:13" ht="32" x14ac:dyDescent="0.2">
      <c r="A56" s="1" t="s">
        <v>112</v>
      </c>
      <c r="B56" s="1" t="s">
        <v>113</v>
      </c>
      <c r="C56" s="1" t="s">
        <v>132</v>
      </c>
      <c r="D56" s="1">
        <v>28</v>
      </c>
      <c r="E56" s="1">
        <v>163</v>
      </c>
      <c r="F56" s="1">
        <v>163</v>
      </c>
      <c r="G56" s="1" t="s">
        <v>2</v>
      </c>
      <c r="H56" s="4" t="s">
        <v>2</v>
      </c>
      <c r="I56" s="4"/>
      <c r="J56" s="1" t="s">
        <v>2</v>
      </c>
      <c r="K56" s="1" t="s">
        <v>2</v>
      </c>
      <c r="L56" s="1" t="s">
        <v>19</v>
      </c>
      <c r="M56">
        <v>12</v>
      </c>
    </row>
    <row r="57" spans="1:13" ht="32" x14ac:dyDescent="0.2">
      <c r="A57" s="1" t="s">
        <v>114</v>
      </c>
      <c r="B57" s="1" t="s">
        <v>115</v>
      </c>
      <c r="C57" s="1" t="s">
        <v>132</v>
      </c>
      <c r="D57" s="1">
        <v>29</v>
      </c>
      <c r="E57" s="1">
        <v>164</v>
      </c>
      <c r="F57" s="1">
        <v>164</v>
      </c>
      <c r="G57" s="1" t="s">
        <v>2</v>
      </c>
      <c r="H57" s="4" t="s">
        <v>2</v>
      </c>
      <c r="I57" s="4"/>
      <c r="J57" s="1" t="s">
        <v>2</v>
      </c>
      <c r="K57" s="1" t="s">
        <v>2</v>
      </c>
      <c r="L57" s="1" t="s">
        <v>19</v>
      </c>
      <c r="M57">
        <v>8.5</v>
      </c>
    </row>
    <row r="58" spans="1:13" ht="32" x14ac:dyDescent="0.2">
      <c r="A58" s="1" t="s">
        <v>116</v>
      </c>
      <c r="B58" s="1" t="s">
        <v>117</v>
      </c>
      <c r="C58" s="1" t="s">
        <v>132</v>
      </c>
      <c r="D58" s="1">
        <v>30</v>
      </c>
      <c r="E58" s="1">
        <v>263</v>
      </c>
      <c r="F58" s="1">
        <v>263</v>
      </c>
      <c r="G58" s="1" t="s">
        <v>2</v>
      </c>
      <c r="H58" s="4">
        <v>0.32134362979578401</v>
      </c>
      <c r="I58" s="4" cm="1">
        <f t="array" ref="I58">IF(H58="NaN",NA,H58*2)</f>
        <v>0.64268725959156803</v>
      </c>
      <c r="J58" s="1">
        <v>0.32134362979578401</v>
      </c>
      <c r="K58" s="1" t="s">
        <v>2</v>
      </c>
      <c r="L58" s="1" t="s">
        <v>6</v>
      </c>
      <c r="M58">
        <v>16.8</v>
      </c>
    </row>
    <row r="59" spans="1:13" ht="32" x14ac:dyDescent="0.2">
      <c r="A59" s="1" t="s">
        <v>118</v>
      </c>
      <c r="B59" s="1" t="s">
        <v>119</v>
      </c>
      <c r="C59" s="1" t="s">
        <v>132</v>
      </c>
      <c r="D59" s="1">
        <v>31</v>
      </c>
      <c r="E59" s="1">
        <v>183</v>
      </c>
      <c r="F59" s="1">
        <v>183</v>
      </c>
      <c r="G59" s="1" t="s">
        <v>2</v>
      </c>
      <c r="H59" s="4">
        <v>1.40950781750365E-2</v>
      </c>
      <c r="I59" s="4" cm="1">
        <f t="array" ref="I59">IF(H59="NaN",NA,H59*2)</f>
        <v>2.8190156350072999E-2</v>
      </c>
      <c r="J59" s="1">
        <v>1.40950781750365E-2</v>
      </c>
      <c r="K59" s="1" t="s">
        <v>2</v>
      </c>
      <c r="L59" s="1" t="s">
        <v>6</v>
      </c>
      <c r="M59">
        <v>42.7</v>
      </c>
    </row>
    <row r="60" spans="1:13" ht="32" x14ac:dyDescent="0.2">
      <c r="A60" s="1" t="s">
        <v>120</v>
      </c>
      <c r="B60" s="1" t="s">
        <v>121</v>
      </c>
      <c r="C60" s="1" t="s">
        <v>132</v>
      </c>
      <c r="D60" s="1">
        <v>32</v>
      </c>
      <c r="E60" s="1">
        <v>163</v>
      </c>
      <c r="F60" s="1">
        <v>163</v>
      </c>
      <c r="G60" s="1" t="s">
        <v>2</v>
      </c>
      <c r="H60" s="4" t="s">
        <v>2</v>
      </c>
      <c r="I60" s="4"/>
      <c r="J60" s="1" t="s">
        <v>2</v>
      </c>
      <c r="K60" s="1" t="s">
        <v>2</v>
      </c>
      <c r="L60" s="1" t="s">
        <v>19</v>
      </c>
      <c r="M60" s="1">
        <v>15</v>
      </c>
    </row>
    <row r="61" spans="1:13" x14ac:dyDescent="0.2">
      <c r="H61"/>
      <c r="I61"/>
    </row>
    <row r="62" spans="1:13" x14ac:dyDescent="0.2">
      <c r="H62"/>
      <c r="I62"/>
    </row>
    <row r="63" spans="1:13" x14ac:dyDescent="0.2">
      <c r="H63"/>
      <c r="I63"/>
    </row>
    <row r="64" spans="1:13" x14ac:dyDescent="0.2">
      <c r="H64"/>
      <c r="I64"/>
    </row>
    <row r="65" spans="8:9" x14ac:dyDescent="0.2">
      <c r="H65"/>
      <c r="I65"/>
    </row>
    <row r="66" spans="8:9" x14ac:dyDescent="0.2">
      <c r="H66"/>
      <c r="I66"/>
    </row>
    <row r="67" spans="8:9" x14ac:dyDescent="0.2">
      <c r="H67"/>
      <c r="I67"/>
    </row>
    <row r="68" spans="8:9" x14ac:dyDescent="0.2">
      <c r="H68"/>
      <c r="I68"/>
    </row>
    <row r="69" spans="8:9" x14ac:dyDescent="0.2">
      <c r="H69"/>
      <c r="I69"/>
    </row>
    <row r="70" spans="8:9" x14ac:dyDescent="0.2">
      <c r="H70"/>
      <c r="I70"/>
    </row>
    <row r="71" spans="8:9" x14ac:dyDescent="0.2">
      <c r="H71"/>
      <c r="I71"/>
    </row>
    <row r="72" spans="8:9" x14ac:dyDescent="0.2">
      <c r="H72"/>
      <c r="I72"/>
    </row>
    <row r="73" spans="8:9" x14ac:dyDescent="0.2">
      <c r="H73"/>
      <c r="I73"/>
    </row>
    <row r="74" spans="8:9" x14ac:dyDescent="0.2">
      <c r="H74"/>
      <c r="I74"/>
    </row>
    <row r="75" spans="8:9" x14ac:dyDescent="0.2">
      <c r="H75"/>
      <c r="I75"/>
    </row>
    <row r="76" spans="8:9" x14ac:dyDescent="0.2">
      <c r="H76"/>
      <c r="I76"/>
    </row>
    <row r="77" spans="8:9" x14ac:dyDescent="0.2">
      <c r="H77"/>
      <c r="I77"/>
    </row>
    <row r="78" spans="8:9" x14ac:dyDescent="0.2">
      <c r="H78"/>
      <c r="I78"/>
    </row>
    <row r="79" spans="8:9" x14ac:dyDescent="0.2">
      <c r="H79"/>
      <c r="I79"/>
    </row>
    <row r="80" spans="8:9" x14ac:dyDescent="0.2">
      <c r="H80"/>
      <c r="I80"/>
    </row>
    <row r="81" spans="8:9" x14ac:dyDescent="0.2">
      <c r="H81"/>
      <c r="I8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81"/>
  <sheetViews>
    <sheetView topLeftCell="A32" workbookViewId="0">
      <selection activeCell="I1" sqref="I1:I1048576"/>
    </sheetView>
  </sheetViews>
  <sheetFormatPr baseColWidth="10" defaultColWidth="8.83203125" defaultRowHeight="15" x14ac:dyDescent="0.2"/>
  <cols>
    <col min="8" max="8" width="8.6640625" style="5"/>
    <col min="9" max="9" width="8.83203125" style="5"/>
  </cols>
  <sheetData>
    <row r="1" spans="1:12" s="2" customFormat="1" x14ac:dyDescent="0.2">
      <c r="A1" s="2" t="s">
        <v>122</v>
      </c>
      <c r="B1" s="2" t="s">
        <v>125</v>
      </c>
      <c r="C1" s="2" t="s">
        <v>133</v>
      </c>
      <c r="D1" s="2" t="s">
        <v>134</v>
      </c>
      <c r="E1" s="2" t="s">
        <v>126</v>
      </c>
      <c r="F1" s="2" t="s">
        <v>127</v>
      </c>
      <c r="G1" s="2" t="s">
        <v>123</v>
      </c>
      <c r="H1" s="3" t="s">
        <v>128</v>
      </c>
      <c r="I1" s="3" t="s">
        <v>135</v>
      </c>
      <c r="J1" s="2" t="s">
        <v>129</v>
      </c>
      <c r="K1" s="2" t="s">
        <v>130</v>
      </c>
      <c r="L1" s="2" t="s">
        <v>124</v>
      </c>
    </row>
    <row r="2" spans="1:12" ht="48" x14ac:dyDescent="0.2">
      <c r="A2" s="1" t="s">
        <v>0</v>
      </c>
      <c r="B2" s="1" t="s">
        <v>1</v>
      </c>
      <c r="C2" s="1" t="s">
        <v>131</v>
      </c>
      <c r="D2" s="1">
        <v>4</v>
      </c>
      <c r="E2" s="1">
        <v>1565</v>
      </c>
      <c r="F2" s="1">
        <v>1565</v>
      </c>
      <c r="G2" s="1" t="s">
        <v>2</v>
      </c>
      <c r="H2" s="4">
        <v>14.035317585336699</v>
      </c>
      <c r="I2" s="4">
        <f>IF(H2="NaN",0,H2*2)</f>
        <v>28.070635170673398</v>
      </c>
      <c r="J2" s="1">
        <v>14.035317585336699</v>
      </c>
      <c r="K2" s="1" t="s">
        <v>2</v>
      </c>
      <c r="L2" s="1" t="s">
        <v>3</v>
      </c>
    </row>
    <row r="3" spans="1:12" ht="48" x14ac:dyDescent="0.2">
      <c r="A3" s="1" t="s">
        <v>4</v>
      </c>
      <c r="B3" s="1" t="s">
        <v>5</v>
      </c>
      <c r="C3" s="1" t="s">
        <v>131</v>
      </c>
      <c r="D3" s="1">
        <v>5</v>
      </c>
      <c r="E3" s="1">
        <v>1719</v>
      </c>
      <c r="F3" s="1">
        <v>1719</v>
      </c>
      <c r="G3" s="1" t="s">
        <v>2</v>
      </c>
      <c r="H3" s="4">
        <v>16.118851377345798</v>
      </c>
      <c r="I3" s="4">
        <f>IF(H3="NaN",0,H3*4)</f>
        <v>64.475405509383194</v>
      </c>
      <c r="J3" s="1">
        <v>16.118851377345798</v>
      </c>
      <c r="K3" s="1" t="s">
        <v>2</v>
      </c>
      <c r="L3" s="1" t="s">
        <v>3</v>
      </c>
    </row>
    <row r="4" spans="1:12" ht="48" x14ac:dyDescent="0.2">
      <c r="A4" s="1" t="s">
        <v>7</v>
      </c>
      <c r="B4" s="1" t="s">
        <v>8</v>
      </c>
      <c r="C4" s="1" t="s">
        <v>131</v>
      </c>
      <c r="D4" s="1">
        <v>6</v>
      </c>
      <c r="E4" s="1">
        <v>787</v>
      </c>
      <c r="F4" s="1">
        <v>787</v>
      </c>
      <c r="G4" s="1" t="s">
        <v>2</v>
      </c>
      <c r="H4" s="4">
        <v>3.16981734185214</v>
      </c>
      <c r="I4" s="4">
        <f>IF(H4="NaN",0,H4*4)</f>
        <v>12.67926936740856</v>
      </c>
      <c r="J4" s="1">
        <v>3.16981734185214</v>
      </c>
      <c r="K4" s="1" t="s">
        <v>2</v>
      </c>
      <c r="L4" s="1" t="s">
        <v>3</v>
      </c>
    </row>
    <row r="5" spans="1:12" ht="48" x14ac:dyDescent="0.2">
      <c r="A5" s="1" t="s">
        <v>9</v>
      </c>
      <c r="B5" s="1" t="s">
        <v>10</v>
      </c>
      <c r="C5" s="1" t="s">
        <v>131</v>
      </c>
      <c r="D5" s="1">
        <v>7</v>
      </c>
      <c r="E5" s="1">
        <v>985</v>
      </c>
      <c r="F5" s="1">
        <v>985</v>
      </c>
      <c r="G5" s="1" t="s">
        <v>2</v>
      </c>
      <c r="H5" s="4">
        <v>6.0154693870526899</v>
      </c>
      <c r="I5" s="4">
        <f t="shared" ref="I5:I14" si="0">IF(H5="NaN",0,H5*4)</f>
        <v>24.061877548210759</v>
      </c>
      <c r="J5" s="1">
        <v>6.0154693870526899</v>
      </c>
      <c r="K5" s="1" t="s">
        <v>2</v>
      </c>
      <c r="L5" s="1" t="s">
        <v>3</v>
      </c>
    </row>
    <row r="6" spans="1:12" ht="48" x14ac:dyDescent="0.2">
      <c r="A6" s="1" t="s">
        <v>11</v>
      </c>
      <c r="B6" s="1" t="s">
        <v>12</v>
      </c>
      <c r="C6" s="1" t="s">
        <v>131</v>
      </c>
      <c r="D6" s="1">
        <v>8</v>
      </c>
      <c r="E6" s="1">
        <v>1051</v>
      </c>
      <c r="F6" s="1">
        <v>1051</v>
      </c>
      <c r="G6" s="1" t="s">
        <v>2</v>
      </c>
      <c r="H6" s="4">
        <v>6.9470676081818299</v>
      </c>
      <c r="I6" s="4">
        <f t="shared" si="0"/>
        <v>27.78827043272732</v>
      </c>
      <c r="J6" s="1">
        <v>6.9470676081818299</v>
      </c>
      <c r="K6" s="1" t="s">
        <v>2</v>
      </c>
      <c r="L6" s="1" t="s">
        <v>3</v>
      </c>
    </row>
    <row r="7" spans="1:12" ht="48" x14ac:dyDescent="0.2">
      <c r="A7" s="1" t="s">
        <v>13</v>
      </c>
      <c r="B7" s="1" t="s">
        <v>14</v>
      </c>
      <c r="C7" s="1" t="s">
        <v>131</v>
      </c>
      <c r="D7" s="1">
        <v>9</v>
      </c>
      <c r="E7" s="1">
        <v>1027</v>
      </c>
      <c r="F7" s="1">
        <v>1027</v>
      </c>
      <c r="G7" s="1" t="s">
        <v>2</v>
      </c>
      <c r="H7" s="4">
        <v>6.6090773525518696</v>
      </c>
      <c r="I7" s="4">
        <f t="shared" si="0"/>
        <v>26.436309410207478</v>
      </c>
      <c r="J7" s="1">
        <v>6.6090773525518696</v>
      </c>
      <c r="K7" s="1" t="s">
        <v>2</v>
      </c>
      <c r="L7" s="1" t="s">
        <v>3</v>
      </c>
    </row>
    <row r="8" spans="1:12" ht="48" x14ac:dyDescent="0.2">
      <c r="A8" s="1" t="s">
        <v>15</v>
      </c>
      <c r="B8" s="1" t="s">
        <v>16</v>
      </c>
      <c r="C8" s="1" t="s">
        <v>131</v>
      </c>
      <c r="D8" s="1">
        <v>10</v>
      </c>
      <c r="E8" s="1">
        <v>977</v>
      </c>
      <c r="F8" s="1">
        <v>977</v>
      </c>
      <c r="G8" s="1" t="s">
        <v>2</v>
      </c>
      <c r="H8" s="4">
        <v>5.9020755676051602</v>
      </c>
      <c r="I8" s="4">
        <f t="shared" si="0"/>
        <v>23.608302270420641</v>
      </c>
      <c r="J8" s="1">
        <v>5.9020755676051602</v>
      </c>
      <c r="K8" s="1" t="s">
        <v>2</v>
      </c>
      <c r="L8" s="1" t="s">
        <v>3</v>
      </c>
    </row>
    <row r="9" spans="1:12" ht="48" x14ac:dyDescent="0.2">
      <c r="A9" s="1" t="s">
        <v>17</v>
      </c>
      <c r="B9" s="1" t="s">
        <v>18</v>
      </c>
      <c r="C9" s="1" t="s">
        <v>131</v>
      </c>
      <c r="D9" s="1">
        <v>11</v>
      </c>
      <c r="E9" s="1">
        <v>588</v>
      </c>
      <c r="F9" s="1">
        <v>588</v>
      </c>
      <c r="G9" s="1" t="s">
        <v>2</v>
      </c>
      <c r="H9" s="4">
        <v>0.131643745651945</v>
      </c>
      <c r="I9" s="4">
        <f t="shared" si="0"/>
        <v>0.52657498260778002</v>
      </c>
      <c r="J9" s="1">
        <v>0.131643745651945</v>
      </c>
      <c r="K9" s="1" t="s">
        <v>2</v>
      </c>
      <c r="L9" s="1" t="s">
        <v>6</v>
      </c>
    </row>
    <row r="10" spans="1:12" ht="48" x14ac:dyDescent="0.2">
      <c r="A10" s="1" t="s">
        <v>20</v>
      </c>
      <c r="B10" s="1" t="s">
        <v>21</v>
      </c>
      <c r="C10" s="1" t="s">
        <v>131</v>
      </c>
      <c r="D10" s="1">
        <v>12</v>
      </c>
      <c r="E10" s="1">
        <v>738</v>
      </c>
      <c r="F10" s="1">
        <v>738</v>
      </c>
      <c r="G10" s="1" t="s">
        <v>2</v>
      </c>
      <c r="H10" s="4">
        <v>2.4484694490535701</v>
      </c>
      <c r="I10" s="4">
        <f t="shared" si="0"/>
        <v>9.7938777962142805</v>
      </c>
      <c r="J10" s="1">
        <v>2.4484694490535701</v>
      </c>
      <c r="K10" s="1" t="s">
        <v>2</v>
      </c>
      <c r="L10" s="1" t="s">
        <v>3</v>
      </c>
    </row>
    <row r="11" spans="1:12" ht="48" x14ac:dyDescent="0.2">
      <c r="A11" s="1" t="s">
        <v>22</v>
      </c>
      <c r="B11" s="1" t="s">
        <v>23</v>
      </c>
      <c r="C11" s="1" t="s">
        <v>131</v>
      </c>
      <c r="D11" s="1">
        <v>13</v>
      </c>
      <c r="E11" s="1">
        <v>614</v>
      </c>
      <c r="F11" s="1">
        <v>614</v>
      </c>
      <c r="G11" s="1" t="s">
        <v>2</v>
      </c>
      <c r="H11" s="4">
        <v>0.55830384853593795</v>
      </c>
      <c r="I11" s="4">
        <f t="shared" si="0"/>
        <v>2.2332153941437518</v>
      </c>
      <c r="J11" s="1">
        <v>0.55830384853593795</v>
      </c>
      <c r="K11" s="1" t="s">
        <v>2</v>
      </c>
      <c r="L11" s="1" t="s">
        <v>6</v>
      </c>
    </row>
    <row r="12" spans="1:12" ht="48" x14ac:dyDescent="0.2">
      <c r="A12" s="1" t="s">
        <v>24</v>
      </c>
      <c r="B12" s="1" t="s">
        <v>25</v>
      </c>
      <c r="C12" s="1" t="s">
        <v>131</v>
      </c>
      <c r="D12" s="1">
        <v>14</v>
      </c>
      <c r="E12" s="1">
        <v>1110</v>
      </c>
      <c r="F12" s="1">
        <v>1110</v>
      </c>
      <c r="G12" s="1" t="s">
        <v>2</v>
      </c>
      <c r="H12" s="4">
        <v>7.77454442560731</v>
      </c>
      <c r="I12" s="4">
        <f t="shared" si="0"/>
        <v>31.09817770242924</v>
      </c>
      <c r="J12" s="1">
        <v>7.77454442560731</v>
      </c>
      <c r="K12" s="1" t="s">
        <v>2</v>
      </c>
      <c r="L12" s="1" t="s">
        <v>3</v>
      </c>
    </row>
    <row r="13" spans="1:12" ht="48" x14ac:dyDescent="0.2">
      <c r="A13" s="1" t="s">
        <v>26</v>
      </c>
      <c r="B13" s="1" t="s">
        <v>27</v>
      </c>
      <c r="C13" s="1" t="s">
        <v>131</v>
      </c>
      <c r="D13" s="1">
        <v>15</v>
      </c>
      <c r="E13" s="1">
        <v>1037</v>
      </c>
      <c r="F13" s="1">
        <v>1037</v>
      </c>
      <c r="G13" s="1" t="s">
        <v>2</v>
      </c>
      <c r="H13" s="4">
        <v>6.7500095983615402</v>
      </c>
      <c r="I13" s="4">
        <f t="shared" si="0"/>
        <v>27.000038393446161</v>
      </c>
      <c r="J13" s="1">
        <v>6.7500095983615402</v>
      </c>
      <c r="K13" s="1" t="s">
        <v>2</v>
      </c>
      <c r="L13" s="1" t="s">
        <v>3</v>
      </c>
    </row>
    <row r="14" spans="1:12" ht="48" x14ac:dyDescent="0.2">
      <c r="A14" s="1" t="s">
        <v>28</v>
      </c>
      <c r="B14" s="1" t="s">
        <v>29</v>
      </c>
      <c r="C14" s="1" t="s">
        <v>131</v>
      </c>
      <c r="D14" s="1">
        <v>16</v>
      </c>
      <c r="E14" s="1">
        <v>1220</v>
      </c>
      <c r="F14" s="1">
        <v>1220</v>
      </c>
      <c r="G14" s="1" t="s">
        <v>2</v>
      </c>
      <c r="H14" s="4">
        <v>9.3058919293386797</v>
      </c>
      <c r="I14" s="4">
        <f t="shared" si="0"/>
        <v>37.223567717354719</v>
      </c>
      <c r="J14" s="1">
        <v>9.3058919293386797</v>
      </c>
      <c r="K14" s="1" t="s">
        <v>2</v>
      </c>
      <c r="L14" s="1" t="s">
        <v>3</v>
      </c>
    </row>
    <row r="15" spans="1:12" ht="48" x14ac:dyDescent="0.2">
      <c r="A15" s="1" t="s">
        <v>30</v>
      </c>
      <c r="B15" s="1" t="s">
        <v>31</v>
      </c>
      <c r="C15" s="1" t="s">
        <v>131</v>
      </c>
      <c r="D15" s="1">
        <v>17</v>
      </c>
      <c r="E15" s="1">
        <v>1895</v>
      </c>
      <c r="F15" s="1">
        <v>1895</v>
      </c>
      <c r="G15" s="1" t="s">
        <v>2</v>
      </c>
      <c r="H15" s="4">
        <v>18.483641938787201</v>
      </c>
      <c r="I15" s="4">
        <f t="shared" ref="I15:I60" si="1">IF(H15="NaN",0,H15*2)</f>
        <v>36.967283877574403</v>
      </c>
      <c r="J15" s="1">
        <v>18.483641938787201</v>
      </c>
      <c r="K15" s="1" t="s">
        <v>2</v>
      </c>
      <c r="L15" s="1" t="s">
        <v>3</v>
      </c>
    </row>
    <row r="16" spans="1:12" ht="48" x14ac:dyDescent="0.2">
      <c r="A16" s="1" t="s">
        <v>32</v>
      </c>
      <c r="B16" s="1" t="s">
        <v>33</v>
      </c>
      <c r="C16" s="1" t="s">
        <v>131</v>
      </c>
      <c r="D16" s="1">
        <v>18</v>
      </c>
      <c r="E16" s="1">
        <v>2070</v>
      </c>
      <c r="F16" s="1">
        <v>2070</v>
      </c>
      <c r="G16" s="1" t="s">
        <v>2</v>
      </c>
      <c r="H16" s="4">
        <v>20.819988632224401</v>
      </c>
      <c r="I16" s="4">
        <f t="shared" si="1"/>
        <v>41.639977264448802</v>
      </c>
      <c r="J16" s="1">
        <v>20.819988632224401</v>
      </c>
      <c r="K16" s="1" t="s">
        <v>2</v>
      </c>
      <c r="L16" s="1" t="s">
        <v>3</v>
      </c>
    </row>
    <row r="17" spans="1:12" ht="48" x14ac:dyDescent="0.2">
      <c r="A17" s="1" t="s">
        <v>34</v>
      </c>
      <c r="B17" s="1" t="s">
        <v>35</v>
      </c>
      <c r="C17" s="1" t="s">
        <v>131</v>
      </c>
      <c r="D17" s="1">
        <v>19</v>
      </c>
      <c r="E17" s="1">
        <v>2061</v>
      </c>
      <c r="F17" s="1">
        <v>2061</v>
      </c>
      <c r="G17" s="1" t="s">
        <v>2</v>
      </c>
      <c r="H17" s="4">
        <v>20.700167419248501</v>
      </c>
      <c r="I17" s="4">
        <f t="shared" si="1"/>
        <v>41.400334838497002</v>
      </c>
      <c r="J17" s="1">
        <v>20.700167419248501</v>
      </c>
      <c r="K17" s="1" t="s">
        <v>2</v>
      </c>
      <c r="L17" s="1" t="s">
        <v>3</v>
      </c>
    </row>
    <row r="18" spans="1:12" ht="48" x14ac:dyDescent="0.2">
      <c r="A18" s="1" t="s">
        <v>36</v>
      </c>
      <c r="B18" s="1" t="s">
        <v>37</v>
      </c>
      <c r="C18" s="1" t="s">
        <v>131</v>
      </c>
      <c r="D18" s="1">
        <v>20</v>
      </c>
      <c r="E18" s="1">
        <v>2158</v>
      </c>
      <c r="F18" s="1">
        <v>2158</v>
      </c>
      <c r="G18" s="1" t="s">
        <v>2</v>
      </c>
      <c r="H18" s="4">
        <v>21.989783441529699</v>
      </c>
      <c r="I18" s="4">
        <f t="shared" si="1"/>
        <v>43.979566883059398</v>
      </c>
      <c r="J18" s="1">
        <v>21.989783441529699</v>
      </c>
      <c r="K18" s="1" t="s">
        <v>2</v>
      </c>
      <c r="L18" s="1" t="s">
        <v>3</v>
      </c>
    </row>
    <row r="19" spans="1:12" ht="48" x14ac:dyDescent="0.2">
      <c r="A19" s="1" t="s">
        <v>38</v>
      </c>
      <c r="B19" s="1" t="s">
        <v>39</v>
      </c>
      <c r="C19" s="1" t="s">
        <v>131</v>
      </c>
      <c r="D19" s="1">
        <v>21</v>
      </c>
      <c r="E19" s="1">
        <v>1965</v>
      </c>
      <c r="F19" s="1">
        <v>1965</v>
      </c>
      <c r="G19" s="1" t="s">
        <v>2</v>
      </c>
      <c r="H19" s="4">
        <v>19.4198618102258</v>
      </c>
      <c r="I19" s="4">
        <f t="shared" si="1"/>
        <v>38.839723620451601</v>
      </c>
      <c r="J19" s="1">
        <v>19.4198618102258</v>
      </c>
      <c r="K19" s="1" t="s">
        <v>2</v>
      </c>
      <c r="L19" s="1" t="s">
        <v>3</v>
      </c>
    </row>
    <row r="20" spans="1:12" ht="48" x14ac:dyDescent="0.2">
      <c r="A20" s="1" t="s">
        <v>40</v>
      </c>
      <c r="B20" s="1" t="s">
        <v>41</v>
      </c>
      <c r="C20" s="1" t="s">
        <v>131</v>
      </c>
      <c r="D20" s="1">
        <v>22</v>
      </c>
      <c r="E20" s="1">
        <v>1168</v>
      </c>
      <c r="F20" s="1">
        <v>1168</v>
      </c>
      <c r="G20" s="1" t="s">
        <v>2</v>
      </c>
      <c r="H20" s="4">
        <v>8.5836989131220705</v>
      </c>
      <c r="I20" s="4">
        <f t="shared" si="1"/>
        <v>17.167397826244141</v>
      </c>
      <c r="J20" s="1">
        <v>8.5836989131220705</v>
      </c>
      <c r="K20" s="1" t="s">
        <v>2</v>
      </c>
      <c r="L20" s="1" t="s">
        <v>3</v>
      </c>
    </row>
    <row r="21" spans="1:12" ht="48" x14ac:dyDescent="0.2">
      <c r="A21" s="1" t="s">
        <v>42</v>
      </c>
      <c r="B21" s="1" t="s">
        <v>43</v>
      </c>
      <c r="C21" s="1" t="s">
        <v>131</v>
      </c>
      <c r="D21" s="1">
        <v>23</v>
      </c>
      <c r="E21" s="1">
        <v>1753</v>
      </c>
      <c r="F21" s="1">
        <v>1753</v>
      </c>
      <c r="G21" s="1" t="s">
        <v>2</v>
      </c>
      <c r="H21" s="4">
        <v>16.576971049115901</v>
      </c>
      <c r="I21" s="4">
        <f t="shared" si="1"/>
        <v>33.153942098231802</v>
      </c>
      <c r="J21" s="1">
        <v>16.576971049115901</v>
      </c>
      <c r="K21" s="1" t="s">
        <v>2</v>
      </c>
      <c r="L21" s="1" t="s">
        <v>3</v>
      </c>
    </row>
    <row r="22" spans="1:12" ht="48" x14ac:dyDescent="0.2">
      <c r="A22" s="1" t="s">
        <v>44</v>
      </c>
      <c r="B22" s="1" t="s">
        <v>45</v>
      </c>
      <c r="C22" s="1" t="s">
        <v>131</v>
      </c>
      <c r="D22" s="1">
        <v>24</v>
      </c>
      <c r="E22" s="1">
        <v>2559</v>
      </c>
      <c r="F22" s="1">
        <v>2559</v>
      </c>
      <c r="G22" s="1" t="s">
        <v>2</v>
      </c>
      <c r="H22" s="4">
        <v>27.283294366685801</v>
      </c>
      <c r="I22" s="4">
        <f t="shared" si="1"/>
        <v>54.566588733371603</v>
      </c>
      <c r="J22" s="1">
        <v>27.283294366685801</v>
      </c>
      <c r="K22" s="1" t="s">
        <v>2</v>
      </c>
      <c r="L22" s="1" t="s">
        <v>3</v>
      </c>
    </row>
    <row r="23" spans="1:12" ht="48" x14ac:dyDescent="0.2">
      <c r="A23" s="1" t="s">
        <v>46</v>
      </c>
      <c r="B23" s="1" t="s">
        <v>47</v>
      </c>
      <c r="C23" s="1" t="s">
        <v>131</v>
      </c>
      <c r="D23" s="1">
        <v>25</v>
      </c>
      <c r="E23" s="1">
        <v>1027</v>
      </c>
      <c r="F23" s="1">
        <v>1027</v>
      </c>
      <c r="G23" s="1" t="s">
        <v>2</v>
      </c>
      <c r="H23" s="4">
        <v>6.6090773525518696</v>
      </c>
      <c r="I23" s="4">
        <f>IF(H23="NaN",0,H23*2)</f>
        <v>13.218154705103739</v>
      </c>
      <c r="J23" s="1">
        <v>6.6090773525518696</v>
      </c>
      <c r="K23" s="1" t="s">
        <v>2</v>
      </c>
      <c r="L23" s="1" t="s">
        <v>3</v>
      </c>
    </row>
    <row r="24" spans="1:12" ht="48" x14ac:dyDescent="0.2">
      <c r="A24" s="1" t="s">
        <v>48</v>
      </c>
      <c r="B24" s="1" t="s">
        <v>49</v>
      </c>
      <c r="C24" s="1" t="s">
        <v>131</v>
      </c>
      <c r="D24" s="1">
        <v>26</v>
      </c>
      <c r="E24" s="1">
        <v>1509</v>
      </c>
      <c r="F24" s="1">
        <v>1509</v>
      </c>
      <c r="G24" s="1" t="s">
        <v>2</v>
      </c>
      <c r="H24" s="4">
        <v>13.2739152675551</v>
      </c>
      <c r="I24" s="4">
        <f t="shared" si="1"/>
        <v>26.547830535110201</v>
      </c>
      <c r="J24" s="1">
        <v>13.2739152675551</v>
      </c>
      <c r="K24" s="1" t="s">
        <v>2</v>
      </c>
      <c r="L24" s="1" t="s">
        <v>3</v>
      </c>
    </row>
    <row r="25" spans="1:12" ht="48" x14ac:dyDescent="0.2">
      <c r="A25" s="1" t="s">
        <v>50</v>
      </c>
      <c r="B25" s="1" t="s">
        <v>51</v>
      </c>
      <c r="C25" s="1" t="s">
        <v>131</v>
      </c>
      <c r="D25" s="1">
        <v>27</v>
      </c>
      <c r="E25" s="1">
        <v>2156</v>
      </c>
      <c r="F25" s="1">
        <v>2156</v>
      </c>
      <c r="G25" s="1" t="s">
        <v>2</v>
      </c>
      <c r="H25" s="4">
        <v>21.963232496004199</v>
      </c>
      <c r="I25" s="4">
        <f t="shared" si="1"/>
        <v>43.926464992008398</v>
      </c>
      <c r="J25" s="1">
        <v>21.963232496004199</v>
      </c>
      <c r="K25" s="1" t="s">
        <v>2</v>
      </c>
      <c r="L25" s="1" t="s">
        <v>3</v>
      </c>
    </row>
    <row r="26" spans="1:12" ht="48" x14ac:dyDescent="0.2">
      <c r="A26" s="1" t="s">
        <v>52</v>
      </c>
      <c r="B26" s="1" t="s">
        <v>53</v>
      </c>
      <c r="C26" s="1" t="s">
        <v>131</v>
      </c>
      <c r="D26" s="1">
        <v>28</v>
      </c>
      <c r="E26" s="1">
        <v>1170</v>
      </c>
      <c r="F26" s="1">
        <v>1170</v>
      </c>
      <c r="G26" s="1" t="s">
        <v>2</v>
      </c>
      <c r="H26" s="4">
        <v>8.6115304547374194</v>
      </c>
      <c r="I26" s="4">
        <f>IF(H26="NaN",0,H26*4)</f>
        <v>34.446121818949678</v>
      </c>
      <c r="J26" s="1">
        <v>8.6115304547374194</v>
      </c>
      <c r="K26" s="1" t="s">
        <v>2</v>
      </c>
      <c r="L26" s="1" t="s">
        <v>3</v>
      </c>
    </row>
    <row r="27" spans="1:12" ht="48" x14ac:dyDescent="0.2">
      <c r="A27" s="1" t="s">
        <v>54</v>
      </c>
      <c r="B27" s="1" t="s">
        <v>55</v>
      </c>
      <c r="C27" s="1" t="s">
        <v>131</v>
      </c>
      <c r="D27" s="1">
        <v>29</v>
      </c>
      <c r="E27" s="1">
        <v>1836</v>
      </c>
      <c r="F27" s="1">
        <v>1836</v>
      </c>
      <c r="G27" s="1" t="s">
        <v>2</v>
      </c>
      <c r="H27" s="4">
        <v>17.692693848773001</v>
      </c>
      <c r="I27" s="4">
        <f t="shared" si="1"/>
        <v>35.385387697546001</v>
      </c>
      <c r="J27" s="1">
        <v>17.692693848773001</v>
      </c>
      <c r="K27" s="1" t="s">
        <v>2</v>
      </c>
      <c r="L27" s="1" t="s">
        <v>3</v>
      </c>
    </row>
    <row r="28" spans="1:12" ht="48" x14ac:dyDescent="0.2">
      <c r="A28" s="1" t="s">
        <v>56</v>
      </c>
      <c r="B28" s="1" t="s">
        <v>57</v>
      </c>
      <c r="C28" s="1" t="s">
        <v>131</v>
      </c>
      <c r="D28" s="1">
        <v>30</v>
      </c>
      <c r="E28" s="1">
        <v>1849</v>
      </c>
      <c r="F28" s="1">
        <v>1849</v>
      </c>
      <c r="G28" s="1" t="s">
        <v>2</v>
      </c>
      <c r="H28" s="4">
        <v>17.867120336816999</v>
      </c>
      <c r="I28" s="4">
        <f t="shared" si="1"/>
        <v>35.734240673633998</v>
      </c>
      <c r="J28" s="1">
        <v>17.867120336816999</v>
      </c>
      <c r="K28" s="1" t="s">
        <v>2</v>
      </c>
      <c r="L28" s="1" t="s">
        <v>3</v>
      </c>
    </row>
    <row r="29" spans="1:12" ht="48" x14ac:dyDescent="0.2">
      <c r="A29" s="1" t="s">
        <v>58</v>
      </c>
      <c r="B29" s="1" t="s">
        <v>59</v>
      </c>
      <c r="C29" s="1" t="s">
        <v>131</v>
      </c>
      <c r="D29" s="1">
        <v>31</v>
      </c>
      <c r="E29" s="1">
        <v>2111</v>
      </c>
      <c r="F29" s="1">
        <v>2111</v>
      </c>
      <c r="G29" s="1" t="s">
        <v>2</v>
      </c>
      <c r="H29" s="4">
        <v>21.3654062089179</v>
      </c>
      <c r="I29" s="4">
        <f t="shared" si="1"/>
        <v>42.7308124178358</v>
      </c>
      <c r="J29" s="1">
        <v>21.3654062089179</v>
      </c>
      <c r="K29" s="1" t="s">
        <v>2</v>
      </c>
      <c r="L29" s="1" t="s">
        <v>3</v>
      </c>
    </row>
    <row r="30" spans="1:12" ht="48" x14ac:dyDescent="0.2">
      <c r="A30" s="1" t="s">
        <v>60</v>
      </c>
      <c r="B30" s="1" t="s">
        <v>61</v>
      </c>
      <c r="C30" s="1" t="s">
        <v>131</v>
      </c>
      <c r="D30" s="1">
        <v>32</v>
      </c>
      <c r="E30" s="1">
        <v>1970</v>
      </c>
      <c r="F30" s="1">
        <v>1970</v>
      </c>
      <c r="G30" s="1" t="s">
        <v>2</v>
      </c>
      <c r="H30" s="4">
        <v>19.486646729732701</v>
      </c>
      <c r="I30" s="4">
        <f t="shared" si="1"/>
        <v>38.973293459465403</v>
      </c>
      <c r="J30" s="1">
        <v>19.486646729732701</v>
      </c>
      <c r="K30" s="1" t="s">
        <v>2</v>
      </c>
      <c r="L30" s="1" t="s">
        <v>3</v>
      </c>
    </row>
    <row r="31" spans="1:12" ht="48" x14ac:dyDescent="0.2">
      <c r="A31" s="1" t="s">
        <v>62</v>
      </c>
      <c r="B31" s="1" t="s">
        <v>63</v>
      </c>
      <c r="C31" s="1" t="s">
        <v>132</v>
      </c>
      <c r="D31" s="1">
        <v>3</v>
      </c>
      <c r="E31" s="1">
        <v>646</v>
      </c>
      <c r="F31" s="1">
        <v>646</v>
      </c>
      <c r="G31" s="1" t="s">
        <v>2</v>
      </c>
      <c r="H31" s="4">
        <v>1.0600846324508899</v>
      </c>
      <c r="I31" s="4">
        <f t="shared" si="1"/>
        <v>2.1201692649017798</v>
      </c>
      <c r="J31" s="1">
        <v>1.0600846324508899</v>
      </c>
      <c r="K31" s="1" t="s">
        <v>2</v>
      </c>
      <c r="L31" s="1" t="s">
        <v>6</v>
      </c>
    </row>
    <row r="32" spans="1:12" ht="48" x14ac:dyDescent="0.2">
      <c r="A32" s="1" t="s">
        <v>64</v>
      </c>
      <c r="B32" s="1" t="s">
        <v>65</v>
      </c>
      <c r="C32" s="1" t="s">
        <v>132</v>
      </c>
      <c r="D32" s="1">
        <v>4</v>
      </c>
      <c r="E32" s="1">
        <v>586</v>
      </c>
      <c r="F32" s="1">
        <v>586</v>
      </c>
      <c r="G32" s="1" t="s">
        <v>2</v>
      </c>
      <c r="H32" s="4">
        <v>9.7066765889656806E-2</v>
      </c>
      <c r="I32" s="4">
        <f t="shared" si="1"/>
        <v>0.19413353177931361</v>
      </c>
      <c r="J32" s="1">
        <v>9.7066765889656806E-2</v>
      </c>
      <c r="K32" s="1" t="s">
        <v>2</v>
      </c>
      <c r="L32" s="1" t="s">
        <v>6</v>
      </c>
    </row>
    <row r="33" spans="1:12" ht="48" x14ac:dyDescent="0.2">
      <c r="A33" s="1" t="s">
        <v>66</v>
      </c>
      <c r="B33" s="1" t="s">
        <v>67</v>
      </c>
      <c r="C33" s="1" t="s">
        <v>132</v>
      </c>
      <c r="D33" s="1">
        <v>5</v>
      </c>
      <c r="E33" s="1">
        <v>657</v>
      </c>
      <c r="F33" s="1">
        <v>657</v>
      </c>
      <c r="G33" s="1" t="s">
        <v>2</v>
      </c>
      <c r="H33" s="4">
        <v>1.22946828765234</v>
      </c>
      <c r="I33" s="4">
        <f t="shared" si="1"/>
        <v>2.4589365753046799</v>
      </c>
      <c r="J33" s="1">
        <v>1.22946828765234</v>
      </c>
      <c r="K33" s="1" t="s">
        <v>2</v>
      </c>
      <c r="L33" s="1" t="s">
        <v>3</v>
      </c>
    </row>
    <row r="34" spans="1:12" ht="48" x14ac:dyDescent="0.2">
      <c r="A34" s="1" t="s">
        <v>68</v>
      </c>
      <c r="B34" s="1" t="s">
        <v>69</v>
      </c>
      <c r="C34" s="1" t="s">
        <v>132</v>
      </c>
      <c r="D34" s="1">
        <v>6</v>
      </c>
      <c r="E34" s="1">
        <v>536</v>
      </c>
      <c r="F34" s="1">
        <v>536</v>
      </c>
      <c r="G34" s="1" t="s">
        <v>2</v>
      </c>
      <c r="H34" s="4" t="s">
        <v>2</v>
      </c>
      <c r="I34" s="4">
        <f t="shared" si="1"/>
        <v>0</v>
      </c>
      <c r="J34" s="1" t="s">
        <v>2</v>
      </c>
      <c r="K34" s="1" t="s">
        <v>2</v>
      </c>
      <c r="L34" s="1" t="s">
        <v>19</v>
      </c>
    </row>
    <row r="35" spans="1:12" ht="48" x14ac:dyDescent="0.2">
      <c r="A35" s="1" t="s">
        <v>70</v>
      </c>
      <c r="B35" s="1" t="s">
        <v>71</v>
      </c>
      <c r="C35" s="1" t="s">
        <v>132</v>
      </c>
      <c r="D35" s="1">
        <v>7</v>
      </c>
      <c r="E35" s="1">
        <v>540</v>
      </c>
      <c r="F35" s="1">
        <v>540</v>
      </c>
      <c r="G35" s="1" t="s">
        <v>2</v>
      </c>
      <c r="H35" s="4" t="s">
        <v>2</v>
      </c>
      <c r="I35" s="4">
        <f t="shared" si="1"/>
        <v>0</v>
      </c>
      <c r="J35" s="1" t="s">
        <v>2</v>
      </c>
      <c r="K35" s="1" t="s">
        <v>2</v>
      </c>
      <c r="L35" s="1" t="s">
        <v>19</v>
      </c>
    </row>
    <row r="36" spans="1:12" ht="48" x14ac:dyDescent="0.2">
      <c r="A36" s="1" t="s">
        <v>72</v>
      </c>
      <c r="B36" s="1" t="s">
        <v>73</v>
      </c>
      <c r="C36" s="1" t="s">
        <v>132</v>
      </c>
      <c r="D36" s="1">
        <v>8</v>
      </c>
      <c r="E36" s="1">
        <v>648</v>
      </c>
      <c r="F36" s="1">
        <v>648</v>
      </c>
      <c r="G36" s="1" t="s">
        <v>2</v>
      </c>
      <c r="H36" s="4">
        <v>1.0909769681786901</v>
      </c>
      <c r="I36" s="4">
        <f t="shared" si="1"/>
        <v>2.1819539363573801</v>
      </c>
      <c r="J36" s="1">
        <v>1.0909769681786901</v>
      </c>
      <c r="K36" s="1" t="s">
        <v>2</v>
      </c>
      <c r="L36" s="1" t="s">
        <v>6</v>
      </c>
    </row>
    <row r="37" spans="1:12" ht="48" x14ac:dyDescent="0.2">
      <c r="A37" s="1" t="s">
        <v>74</v>
      </c>
      <c r="B37" s="1" t="s">
        <v>75</v>
      </c>
      <c r="C37" s="1" t="s">
        <v>132</v>
      </c>
      <c r="D37" s="1">
        <v>9</v>
      </c>
      <c r="E37" s="1">
        <v>561</v>
      </c>
      <c r="F37" s="1">
        <v>561</v>
      </c>
      <c r="G37" s="1" t="s">
        <v>2</v>
      </c>
      <c r="H37" s="4" t="s">
        <v>2</v>
      </c>
      <c r="I37" s="4">
        <f t="shared" si="1"/>
        <v>0</v>
      </c>
      <c r="J37" s="1" t="s">
        <v>2</v>
      </c>
      <c r="K37" s="1" t="s">
        <v>2</v>
      </c>
      <c r="L37" s="1" t="s">
        <v>19</v>
      </c>
    </row>
    <row r="38" spans="1:12" ht="48" x14ac:dyDescent="0.2">
      <c r="A38" s="1" t="s">
        <v>76</v>
      </c>
      <c r="B38" s="1" t="s">
        <v>77</v>
      </c>
      <c r="C38" s="1" t="s">
        <v>132</v>
      </c>
      <c r="D38" s="1">
        <v>10</v>
      </c>
      <c r="E38" s="1">
        <v>581</v>
      </c>
      <c r="F38" s="1">
        <v>581</v>
      </c>
      <c r="G38" s="1" t="s">
        <v>2</v>
      </c>
      <c r="H38" s="4">
        <v>6.3657762019309599E-3</v>
      </c>
      <c r="I38" s="4">
        <f t="shared" si="1"/>
        <v>1.273155240386192E-2</v>
      </c>
      <c r="J38" s="1">
        <v>6.3657762019309599E-3</v>
      </c>
      <c r="K38" s="1" t="s">
        <v>2</v>
      </c>
      <c r="L38" s="1" t="s">
        <v>6</v>
      </c>
    </row>
    <row r="39" spans="1:12" ht="48" x14ac:dyDescent="0.2">
      <c r="A39" s="1" t="s">
        <v>78</v>
      </c>
      <c r="B39" s="1" t="s">
        <v>79</v>
      </c>
      <c r="C39" s="1" t="s">
        <v>132</v>
      </c>
      <c r="D39" s="1">
        <v>11</v>
      </c>
      <c r="E39" s="1">
        <v>576</v>
      </c>
      <c r="F39" s="1">
        <v>576</v>
      </c>
      <c r="G39" s="1" t="s">
        <v>2</v>
      </c>
      <c r="H39" s="4" t="s">
        <v>2</v>
      </c>
      <c r="I39" s="4">
        <f t="shared" si="1"/>
        <v>0</v>
      </c>
      <c r="J39" s="1" t="s">
        <v>2</v>
      </c>
      <c r="K39" s="1" t="s">
        <v>2</v>
      </c>
      <c r="L39" s="1" t="s">
        <v>19</v>
      </c>
    </row>
    <row r="40" spans="1:12" ht="48" x14ac:dyDescent="0.2">
      <c r="A40" s="1" t="s">
        <v>80</v>
      </c>
      <c r="B40" s="1" t="s">
        <v>81</v>
      </c>
      <c r="C40" s="1" t="s">
        <v>132</v>
      </c>
      <c r="D40" s="1">
        <v>12</v>
      </c>
      <c r="E40" s="1">
        <v>557</v>
      </c>
      <c r="F40" s="1">
        <v>557</v>
      </c>
      <c r="G40" s="1" t="s">
        <v>2</v>
      </c>
      <c r="H40" s="4" t="s">
        <v>2</v>
      </c>
      <c r="I40" s="4">
        <f t="shared" si="1"/>
        <v>0</v>
      </c>
      <c r="J40" s="1" t="s">
        <v>2</v>
      </c>
      <c r="K40" s="1" t="s">
        <v>2</v>
      </c>
      <c r="L40" s="1" t="s">
        <v>19</v>
      </c>
    </row>
    <row r="41" spans="1:12" ht="48" x14ac:dyDescent="0.2">
      <c r="A41" s="1" t="s">
        <v>82</v>
      </c>
      <c r="B41" s="1" t="s">
        <v>83</v>
      </c>
      <c r="C41" s="1" t="s">
        <v>132</v>
      </c>
      <c r="D41" s="1">
        <v>13</v>
      </c>
      <c r="E41" s="1">
        <v>608</v>
      </c>
      <c r="F41" s="1">
        <v>608</v>
      </c>
      <c r="G41" s="1" t="s">
        <v>2</v>
      </c>
      <c r="H41" s="4">
        <v>0.462085172637069</v>
      </c>
      <c r="I41" s="4">
        <f t="shared" si="1"/>
        <v>0.92417034527413799</v>
      </c>
      <c r="J41" s="1">
        <v>0.462085172637069</v>
      </c>
      <c r="K41" s="1" t="s">
        <v>2</v>
      </c>
      <c r="L41" s="1" t="s">
        <v>6</v>
      </c>
    </row>
    <row r="42" spans="1:12" ht="48" x14ac:dyDescent="0.2">
      <c r="A42" s="1" t="s">
        <v>84</v>
      </c>
      <c r="B42" s="1" t="s">
        <v>85</v>
      </c>
      <c r="C42" s="1" t="s">
        <v>132</v>
      </c>
      <c r="D42" s="1">
        <v>14</v>
      </c>
      <c r="E42" s="1">
        <v>590</v>
      </c>
      <c r="F42" s="1">
        <v>590</v>
      </c>
      <c r="G42" s="1" t="s">
        <v>2</v>
      </c>
      <c r="H42" s="4">
        <v>0.16576520736843101</v>
      </c>
      <c r="I42" s="4">
        <f t="shared" si="1"/>
        <v>0.33153041473686201</v>
      </c>
      <c r="J42" s="1">
        <v>0.16576520736843101</v>
      </c>
      <c r="K42" s="1" t="s">
        <v>2</v>
      </c>
      <c r="L42" s="1" t="s">
        <v>6</v>
      </c>
    </row>
    <row r="43" spans="1:12" ht="48" x14ac:dyDescent="0.2">
      <c r="A43" s="1" t="s">
        <v>86</v>
      </c>
      <c r="B43" s="1" t="s">
        <v>87</v>
      </c>
      <c r="C43" s="1" t="s">
        <v>132</v>
      </c>
      <c r="D43" s="1">
        <v>15</v>
      </c>
      <c r="E43" s="1">
        <v>600</v>
      </c>
      <c r="F43" s="1">
        <v>600</v>
      </c>
      <c r="G43" s="1" t="s">
        <v>2</v>
      </c>
      <c r="H43" s="4">
        <v>0.33215129637797203</v>
      </c>
      <c r="I43" s="4">
        <f t="shared" si="1"/>
        <v>0.66430259275594405</v>
      </c>
      <c r="J43" s="1">
        <v>0.33215129637797203</v>
      </c>
      <c r="K43" s="1" t="s">
        <v>2</v>
      </c>
      <c r="L43" s="1" t="s">
        <v>6</v>
      </c>
    </row>
    <row r="44" spans="1:12" ht="48" x14ac:dyDescent="0.2">
      <c r="A44" s="1" t="s">
        <v>88</v>
      </c>
      <c r="B44" s="1" t="s">
        <v>89</v>
      </c>
      <c r="C44" s="1" t="s">
        <v>132</v>
      </c>
      <c r="D44" s="1">
        <v>16</v>
      </c>
      <c r="E44" s="1">
        <v>558</v>
      </c>
      <c r="F44" s="1">
        <v>558</v>
      </c>
      <c r="G44" s="1" t="s">
        <v>2</v>
      </c>
      <c r="H44" s="4" t="s">
        <v>2</v>
      </c>
      <c r="I44" s="4">
        <f t="shared" si="1"/>
        <v>0</v>
      </c>
      <c r="J44" s="1" t="s">
        <v>2</v>
      </c>
      <c r="K44" s="1" t="s">
        <v>2</v>
      </c>
      <c r="L44" s="1" t="s">
        <v>19</v>
      </c>
    </row>
    <row r="45" spans="1:12" ht="48" x14ac:dyDescent="0.2">
      <c r="A45" s="1" t="s">
        <v>90</v>
      </c>
      <c r="B45" s="1" t="s">
        <v>91</v>
      </c>
      <c r="C45" s="1" t="s">
        <v>132</v>
      </c>
      <c r="D45" s="1">
        <v>17</v>
      </c>
      <c r="E45" s="1">
        <v>622</v>
      </c>
      <c r="F45" s="1">
        <v>622</v>
      </c>
      <c r="G45" s="1" t="s">
        <v>2</v>
      </c>
      <c r="H45" s="4">
        <v>0.68532921025152704</v>
      </c>
      <c r="I45" s="4">
        <f t="shared" si="1"/>
        <v>1.3706584205030541</v>
      </c>
      <c r="J45" s="1">
        <v>0.68532921025152704</v>
      </c>
      <c r="K45" s="1" t="s">
        <v>2</v>
      </c>
      <c r="L45" s="1" t="s">
        <v>6</v>
      </c>
    </row>
    <row r="46" spans="1:12" ht="48" x14ac:dyDescent="0.2">
      <c r="A46" s="1" t="s">
        <v>92</v>
      </c>
      <c r="B46" s="1" t="s">
        <v>93</v>
      </c>
      <c r="C46" s="1" t="s">
        <v>132</v>
      </c>
      <c r="D46" s="1">
        <v>18</v>
      </c>
      <c r="E46" s="1">
        <v>638</v>
      </c>
      <c r="F46" s="1">
        <v>638</v>
      </c>
      <c r="G46" s="1" t="s">
        <v>2</v>
      </c>
      <c r="H46" s="4">
        <v>0.93604717052879904</v>
      </c>
      <c r="I46" s="4">
        <f t="shared" si="1"/>
        <v>1.8720943410575981</v>
      </c>
      <c r="J46" s="1">
        <v>0.93604717052879904</v>
      </c>
      <c r="K46" s="1" t="s">
        <v>2</v>
      </c>
      <c r="L46" s="1" t="s">
        <v>6</v>
      </c>
    </row>
    <row r="47" spans="1:12" ht="48" x14ac:dyDescent="0.2">
      <c r="A47" s="1" t="s">
        <v>94</v>
      </c>
      <c r="B47" s="1" t="s">
        <v>95</v>
      </c>
      <c r="C47" s="1" t="s">
        <v>132</v>
      </c>
      <c r="D47" s="1">
        <v>19</v>
      </c>
      <c r="E47" s="1">
        <v>679</v>
      </c>
      <c r="F47" s="1">
        <v>679</v>
      </c>
      <c r="G47" s="1" t="s">
        <v>2</v>
      </c>
      <c r="H47" s="4">
        <v>1.5648884278274899</v>
      </c>
      <c r="I47" s="4">
        <f t="shared" si="1"/>
        <v>3.1297768556549799</v>
      </c>
      <c r="J47" s="1">
        <v>1.5648884278274899</v>
      </c>
      <c r="K47" s="1" t="s">
        <v>2</v>
      </c>
      <c r="L47" s="1" t="s">
        <v>3</v>
      </c>
    </row>
    <row r="48" spans="1:12" ht="48" x14ac:dyDescent="0.2">
      <c r="A48" s="1" t="s">
        <v>96</v>
      </c>
      <c r="B48" s="1" t="s">
        <v>97</v>
      </c>
      <c r="C48" s="1" t="s">
        <v>132</v>
      </c>
      <c r="D48" s="1">
        <v>20</v>
      </c>
      <c r="E48" s="1">
        <v>619</v>
      </c>
      <c r="F48" s="1">
        <v>619</v>
      </c>
      <c r="G48" s="1" t="s">
        <v>2</v>
      </c>
      <c r="H48" s="4">
        <v>0.63784616864431298</v>
      </c>
      <c r="I48" s="4">
        <f t="shared" si="1"/>
        <v>1.275692337288626</v>
      </c>
      <c r="J48" s="1">
        <v>0.63784616864431298</v>
      </c>
      <c r="K48" s="1" t="s">
        <v>2</v>
      </c>
      <c r="L48" s="1" t="s">
        <v>6</v>
      </c>
    </row>
    <row r="49" spans="1:12" ht="48" x14ac:dyDescent="0.2">
      <c r="A49" s="1" t="s">
        <v>98</v>
      </c>
      <c r="B49" s="1" t="s">
        <v>99</v>
      </c>
      <c r="C49" s="1" t="s">
        <v>132</v>
      </c>
      <c r="D49" s="1">
        <v>21</v>
      </c>
      <c r="E49" s="1">
        <v>625</v>
      </c>
      <c r="F49" s="1">
        <v>625</v>
      </c>
      <c r="G49" s="1" t="s">
        <v>2</v>
      </c>
      <c r="H49" s="4">
        <v>0.73264755299266604</v>
      </c>
      <c r="I49" s="4">
        <f t="shared" si="1"/>
        <v>1.4652951059853321</v>
      </c>
      <c r="J49" s="1">
        <v>0.73264755299266604</v>
      </c>
      <c r="K49" s="1" t="s">
        <v>2</v>
      </c>
      <c r="L49" s="1" t="s">
        <v>6</v>
      </c>
    </row>
    <row r="50" spans="1:12" ht="48" x14ac:dyDescent="0.2">
      <c r="A50" s="1" t="s">
        <v>100</v>
      </c>
      <c r="B50" s="1" t="s">
        <v>101</v>
      </c>
      <c r="C50" s="1" t="s">
        <v>132</v>
      </c>
      <c r="D50" s="1">
        <v>22</v>
      </c>
      <c r="E50" s="1">
        <v>603</v>
      </c>
      <c r="F50" s="1">
        <v>603</v>
      </c>
      <c r="G50" s="1" t="s">
        <v>2</v>
      </c>
      <c r="H50" s="4">
        <v>0.38113147438212702</v>
      </c>
      <c r="I50" s="4">
        <f t="shared" si="1"/>
        <v>0.76226294876425404</v>
      </c>
      <c r="J50" s="1">
        <v>0.38113147438212702</v>
      </c>
      <c r="K50" s="1" t="s">
        <v>2</v>
      </c>
      <c r="L50" s="1" t="s">
        <v>6</v>
      </c>
    </row>
    <row r="51" spans="1:12" ht="48" x14ac:dyDescent="0.2">
      <c r="A51" s="1" t="s">
        <v>102</v>
      </c>
      <c r="B51" s="1" t="s">
        <v>103</v>
      </c>
      <c r="C51" s="1" t="s">
        <v>132</v>
      </c>
      <c r="D51" s="1">
        <v>23</v>
      </c>
      <c r="E51" s="1">
        <v>619</v>
      </c>
      <c r="F51" s="1">
        <v>619</v>
      </c>
      <c r="G51" s="1" t="s">
        <v>2</v>
      </c>
      <c r="H51" s="4">
        <v>0.63784616864431298</v>
      </c>
      <c r="I51" s="4">
        <f t="shared" si="1"/>
        <v>1.275692337288626</v>
      </c>
      <c r="J51" s="1">
        <v>0.63784616864431298</v>
      </c>
      <c r="K51" s="1" t="s">
        <v>2</v>
      </c>
      <c r="L51" s="1" t="s">
        <v>6</v>
      </c>
    </row>
    <row r="52" spans="1:12" ht="48" x14ac:dyDescent="0.2">
      <c r="A52" s="1" t="s">
        <v>104</v>
      </c>
      <c r="B52" s="1" t="s">
        <v>105</v>
      </c>
      <c r="C52" s="1" t="s">
        <v>132</v>
      </c>
      <c r="D52" s="1">
        <v>24</v>
      </c>
      <c r="E52" s="1">
        <v>611</v>
      </c>
      <c r="F52" s="1">
        <v>611</v>
      </c>
      <c r="G52" s="1" t="s">
        <v>2</v>
      </c>
      <c r="H52" s="4">
        <v>0.51030852094584001</v>
      </c>
      <c r="I52" s="4">
        <f t="shared" si="1"/>
        <v>1.02061704189168</v>
      </c>
      <c r="J52" s="1">
        <v>0.51030852094584001</v>
      </c>
      <c r="K52" s="1" t="s">
        <v>2</v>
      </c>
      <c r="L52" s="1" t="s">
        <v>6</v>
      </c>
    </row>
    <row r="53" spans="1:12" ht="48" x14ac:dyDescent="0.2">
      <c r="A53" s="1" t="s">
        <v>106</v>
      </c>
      <c r="B53" s="1" t="s">
        <v>107</v>
      </c>
      <c r="C53" s="1" t="s">
        <v>132</v>
      </c>
      <c r="D53" s="1">
        <v>25</v>
      </c>
      <c r="E53" s="1">
        <v>561</v>
      </c>
      <c r="F53" s="1">
        <v>561</v>
      </c>
      <c r="G53" s="1" t="s">
        <v>2</v>
      </c>
      <c r="H53" s="4" t="s">
        <v>2</v>
      </c>
      <c r="I53" s="4">
        <f t="shared" si="1"/>
        <v>0</v>
      </c>
      <c r="J53" s="1" t="s">
        <v>2</v>
      </c>
      <c r="K53" s="1" t="s">
        <v>2</v>
      </c>
      <c r="L53" s="1" t="s">
        <v>19</v>
      </c>
    </row>
    <row r="54" spans="1:12" ht="48" x14ac:dyDescent="0.2">
      <c r="A54" s="1" t="s">
        <v>108</v>
      </c>
      <c r="B54" s="1" t="s">
        <v>109</v>
      </c>
      <c r="C54" s="1" t="s">
        <v>132</v>
      </c>
      <c r="D54" s="1">
        <v>26</v>
      </c>
      <c r="E54" s="1">
        <v>610</v>
      </c>
      <c r="F54" s="1">
        <v>610</v>
      </c>
      <c r="G54" s="1" t="s">
        <v>2</v>
      </c>
      <c r="H54" s="4">
        <v>0.49426059590559501</v>
      </c>
      <c r="I54" s="4">
        <f t="shared" si="1"/>
        <v>0.98852119181119003</v>
      </c>
      <c r="J54" s="1">
        <v>0.49426059590559501</v>
      </c>
      <c r="K54" s="1" t="s">
        <v>2</v>
      </c>
      <c r="L54" s="1" t="s">
        <v>6</v>
      </c>
    </row>
    <row r="55" spans="1:12" ht="48" x14ac:dyDescent="0.2">
      <c r="A55" s="1" t="s">
        <v>110</v>
      </c>
      <c r="B55" s="1" t="s">
        <v>111</v>
      </c>
      <c r="C55" s="1" t="s">
        <v>132</v>
      </c>
      <c r="D55" s="1">
        <v>27</v>
      </c>
      <c r="E55" s="1">
        <v>584</v>
      </c>
      <c r="F55" s="1">
        <v>584</v>
      </c>
      <c r="G55" s="1" t="s">
        <v>2</v>
      </c>
      <c r="H55" s="4">
        <v>6.18445241279207E-2</v>
      </c>
      <c r="I55" s="4">
        <f t="shared" si="1"/>
        <v>0.1236890482558414</v>
      </c>
      <c r="J55" s="1">
        <v>6.18445241279207E-2</v>
      </c>
      <c r="K55" s="1" t="s">
        <v>2</v>
      </c>
      <c r="L55" s="1" t="s">
        <v>6</v>
      </c>
    </row>
    <row r="56" spans="1:12" ht="48" x14ac:dyDescent="0.2">
      <c r="A56" s="1" t="s">
        <v>112</v>
      </c>
      <c r="B56" s="1" t="s">
        <v>113</v>
      </c>
      <c r="C56" s="1" t="s">
        <v>132</v>
      </c>
      <c r="D56" s="1">
        <v>28</v>
      </c>
      <c r="E56" s="1">
        <v>609</v>
      </c>
      <c r="F56" s="1">
        <v>609</v>
      </c>
      <c r="G56" s="1" t="s">
        <v>2</v>
      </c>
      <c r="H56" s="4">
        <v>0.47818647219277299</v>
      </c>
      <c r="I56" s="4">
        <f t="shared" si="1"/>
        <v>0.95637294438554599</v>
      </c>
      <c r="J56" s="1">
        <v>0.47818647219277299</v>
      </c>
      <c r="K56" s="1" t="s">
        <v>2</v>
      </c>
      <c r="L56" s="1" t="s">
        <v>6</v>
      </c>
    </row>
    <row r="57" spans="1:12" ht="48" x14ac:dyDescent="0.2">
      <c r="A57" s="1" t="s">
        <v>114</v>
      </c>
      <c r="B57" s="1" t="s">
        <v>115</v>
      </c>
      <c r="C57" s="1" t="s">
        <v>132</v>
      </c>
      <c r="D57" s="1">
        <v>29</v>
      </c>
      <c r="E57" s="1">
        <v>621</v>
      </c>
      <c r="F57" s="1">
        <v>621</v>
      </c>
      <c r="G57" s="1" t="s">
        <v>2</v>
      </c>
      <c r="H57" s="4">
        <v>0.66952045616259603</v>
      </c>
      <c r="I57" s="4">
        <f t="shared" si="1"/>
        <v>1.3390409123251921</v>
      </c>
      <c r="J57" s="1">
        <v>0.66952045616259603</v>
      </c>
      <c r="K57" s="1" t="s">
        <v>2</v>
      </c>
      <c r="L57" s="1" t="s">
        <v>6</v>
      </c>
    </row>
    <row r="58" spans="1:12" ht="48" x14ac:dyDescent="0.2">
      <c r="A58" s="1" t="s">
        <v>116</v>
      </c>
      <c r="B58" s="1" t="s">
        <v>117</v>
      </c>
      <c r="C58" s="1" t="s">
        <v>132</v>
      </c>
      <c r="D58" s="1">
        <v>30</v>
      </c>
      <c r="E58" s="1">
        <v>703</v>
      </c>
      <c r="F58" s="1">
        <v>703</v>
      </c>
      <c r="G58" s="1" t="s">
        <v>2</v>
      </c>
      <c r="H58" s="4">
        <v>1.92672207863711</v>
      </c>
      <c r="I58" s="4">
        <f t="shared" si="1"/>
        <v>3.85344415727422</v>
      </c>
      <c r="J58" s="1">
        <v>1.92672207863711</v>
      </c>
      <c r="K58" s="1" t="s">
        <v>2</v>
      </c>
      <c r="L58" s="1" t="s">
        <v>3</v>
      </c>
    </row>
    <row r="59" spans="1:12" ht="48" x14ac:dyDescent="0.2">
      <c r="A59" s="1" t="s">
        <v>118</v>
      </c>
      <c r="B59" s="1" t="s">
        <v>119</v>
      </c>
      <c r="C59" s="1" t="s">
        <v>132</v>
      </c>
      <c r="D59" s="1">
        <v>31</v>
      </c>
      <c r="E59" s="1">
        <v>633</v>
      </c>
      <c r="F59" s="1">
        <v>633</v>
      </c>
      <c r="G59" s="1" t="s">
        <v>2</v>
      </c>
      <c r="H59" s="4">
        <v>0.85810876499559596</v>
      </c>
      <c r="I59" s="4">
        <f t="shared" si="1"/>
        <v>1.7162175299911919</v>
      </c>
      <c r="J59" s="1">
        <v>0.85810876499559596</v>
      </c>
      <c r="K59" s="1" t="s">
        <v>2</v>
      </c>
      <c r="L59" s="1" t="s">
        <v>6</v>
      </c>
    </row>
    <row r="60" spans="1:12" ht="48" x14ac:dyDescent="0.2">
      <c r="A60" s="1" t="s">
        <v>120</v>
      </c>
      <c r="B60" s="1" t="s">
        <v>121</v>
      </c>
      <c r="C60" s="1" t="s">
        <v>132</v>
      </c>
      <c r="D60" s="1">
        <v>32</v>
      </c>
      <c r="E60" s="1">
        <v>639</v>
      </c>
      <c r="F60" s="1">
        <v>639</v>
      </c>
      <c r="G60" s="1" t="s">
        <v>2</v>
      </c>
      <c r="H60" s="4">
        <v>0.95159493549863905</v>
      </c>
      <c r="I60" s="4">
        <f t="shared" si="1"/>
        <v>1.9031898709972781</v>
      </c>
      <c r="J60" s="1">
        <v>0.95159493549863905</v>
      </c>
      <c r="K60" s="1" t="s">
        <v>2</v>
      </c>
      <c r="L60" s="1" t="s">
        <v>6</v>
      </c>
    </row>
    <row r="61" spans="1:12" x14ac:dyDescent="0.2">
      <c r="H61"/>
      <c r="I61"/>
    </row>
    <row r="62" spans="1:12" x14ac:dyDescent="0.2">
      <c r="H62"/>
      <c r="I62"/>
    </row>
    <row r="63" spans="1:12" x14ac:dyDescent="0.2">
      <c r="H63"/>
      <c r="I63"/>
    </row>
    <row r="64" spans="1:12" x14ac:dyDescent="0.2">
      <c r="H64"/>
      <c r="I64"/>
    </row>
    <row r="65" spans="8:9" x14ac:dyDescent="0.2">
      <c r="H65"/>
      <c r="I65"/>
    </row>
    <row r="66" spans="8:9" x14ac:dyDescent="0.2">
      <c r="H66"/>
      <c r="I66"/>
    </row>
    <row r="67" spans="8:9" x14ac:dyDescent="0.2">
      <c r="H67"/>
      <c r="I67"/>
    </row>
    <row r="68" spans="8:9" x14ac:dyDescent="0.2">
      <c r="H68"/>
      <c r="I68"/>
    </row>
    <row r="69" spans="8:9" x14ac:dyDescent="0.2">
      <c r="H69"/>
      <c r="I69"/>
    </row>
    <row r="70" spans="8:9" x14ac:dyDescent="0.2">
      <c r="H70"/>
      <c r="I70"/>
    </row>
    <row r="71" spans="8:9" x14ac:dyDescent="0.2">
      <c r="H71"/>
      <c r="I71"/>
    </row>
    <row r="72" spans="8:9" x14ac:dyDescent="0.2">
      <c r="H72"/>
      <c r="I72"/>
    </row>
    <row r="73" spans="8:9" x14ac:dyDescent="0.2">
      <c r="H73"/>
      <c r="I73"/>
    </row>
    <row r="74" spans="8:9" x14ac:dyDescent="0.2">
      <c r="H74"/>
      <c r="I74"/>
    </row>
    <row r="75" spans="8:9" x14ac:dyDescent="0.2">
      <c r="H75"/>
      <c r="I75"/>
    </row>
    <row r="76" spans="8:9" x14ac:dyDescent="0.2">
      <c r="H76"/>
      <c r="I76"/>
    </row>
    <row r="77" spans="8:9" x14ac:dyDescent="0.2">
      <c r="H77"/>
      <c r="I77"/>
    </row>
    <row r="78" spans="8:9" x14ac:dyDescent="0.2">
      <c r="H78"/>
      <c r="I78"/>
    </row>
    <row r="79" spans="8:9" x14ac:dyDescent="0.2">
      <c r="H79"/>
      <c r="I79"/>
    </row>
    <row r="80" spans="8:9" x14ac:dyDescent="0.2">
      <c r="H80"/>
      <c r="I80"/>
    </row>
    <row r="81" spans="8:9" x14ac:dyDescent="0.2">
      <c r="H81"/>
      <c r="I8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workbookViewId="0">
      <selection activeCell="I2" sqref="I2:I60"/>
    </sheetView>
  </sheetViews>
  <sheetFormatPr baseColWidth="10" defaultColWidth="8.83203125" defaultRowHeight="15" x14ac:dyDescent="0.2"/>
  <cols>
    <col min="8" max="8" width="8.6640625" style="5"/>
    <col min="9" max="9" width="8.83203125" style="5"/>
  </cols>
  <sheetData>
    <row r="1" spans="1:12" s="2" customFormat="1" x14ac:dyDescent="0.2">
      <c r="A1" s="2" t="s">
        <v>122</v>
      </c>
      <c r="B1" s="2" t="s">
        <v>125</v>
      </c>
      <c r="C1" s="2" t="s">
        <v>133</v>
      </c>
      <c r="D1" s="2" t="s">
        <v>134</v>
      </c>
      <c r="E1" s="2" t="s">
        <v>126</v>
      </c>
      <c r="F1" s="2" t="s">
        <v>127</v>
      </c>
      <c r="G1" s="2" t="s">
        <v>123</v>
      </c>
      <c r="H1" s="3" t="s">
        <v>128</v>
      </c>
      <c r="I1" s="3" t="s">
        <v>135</v>
      </c>
      <c r="J1" s="2" t="s">
        <v>129</v>
      </c>
      <c r="K1" s="2" t="s">
        <v>130</v>
      </c>
      <c r="L1" s="2" t="s">
        <v>124</v>
      </c>
    </row>
    <row r="2" spans="1:12" ht="48" x14ac:dyDescent="0.2">
      <c r="A2" s="1" t="s">
        <v>0</v>
      </c>
      <c r="B2" s="1" t="s">
        <v>1</v>
      </c>
      <c r="C2" s="1" t="s">
        <v>131</v>
      </c>
      <c r="D2" s="1">
        <v>4</v>
      </c>
      <c r="E2" s="1">
        <v>540</v>
      </c>
      <c r="F2" s="1">
        <v>540</v>
      </c>
      <c r="G2" s="1" t="s">
        <v>2</v>
      </c>
      <c r="H2" s="4">
        <v>21.560397832378101</v>
      </c>
      <c r="I2" s="4">
        <f>IF(H2="NaN",0,H2*2)</f>
        <v>43.120795664756201</v>
      </c>
      <c r="J2" s="1">
        <v>21.560397832378101</v>
      </c>
      <c r="K2" s="1" t="s">
        <v>2</v>
      </c>
      <c r="L2" s="1" t="s">
        <v>3</v>
      </c>
    </row>
    <row r="3" spans="1:12" ht="48" x14ac:dyDescent="0.2">
      <c r="A3" s="1" t="s">
        <v>4</v>
      </c>
      <c r="B3" s="1" t="s">
        <v>5</v>
      </c>
      <c r="C3" s="1" t="s">
        <v>131</v>
      </c>
      <c r="D3" s="1">
        <v>5</v>
      </c>
      <c r="E3" s="1">
        <v>416</v>
      </c>
      <c r="F3" s="1">
        <v>416</v>
      </c>
      <c r="G3" s="1" t="s">
        <v>2</v>
      </c>
      <c r="H3" s="4">
        <v>10.2616389044416</v>
      </c>
      <c r="I3" s="4">
        <f>IF(H3="NaN",0,H3*4)</f>
        <v>41.046555617766401</v>
      </c>
      <c r="J3" s="1">
        <v>10.2616389044416</v>
      </c>
      <c r="K3" s="1" t="s">
        <v>2</v>
      </c>
      <c r="L3" s="1" t="s">
        <v>3</v>
      </c>
    </row>
    <row r="4" spans="1:12" ht="48" x14ac:dyDescent="0.2">
      <c r="A4" s="1" t="s">
        <v>7</v>
      </c>
      <c r="B4" s="1" t="s">
        <v>8</v>
      </c>
      <c r="C4" s="1" t="s">
        <v>131</v>
      </c>
      <c r="D4" s="1">
        <v>6</v>
      </c>
      <c r="E4" s="1">
        <v>302</v>
      </c>
      <c r="F4" s="1">
        <v>302</v>
      </c>
      <c r="G4" s="1" t="s">
        <v>2</v>
      </c>
      <c r="H4" s="4" t="s">
        <v>2</v>
      </c>
      <c r="I4" s="4">
        <f>IF(H4="NaN",0,H4*4)</f>
        <v>0</v>
      </c>
      <c r="J4" s="1" t="s">
        <v>2</v>
      </c>
      <c r="K4" s="1" t="s">
        <v>2</v>
      </c>
      <c r="L4" s="1" t="s">
        <v>19</v>
      </c>
    </row>
    <row r="5" spans="1:12" ht="48" x14ac:dyDescent="0.2">
      <c r="A5" s="1" t="s">
        <v>9</v>
      </c>
      <c r="B5" s="1" t="s">
        <v>10</v>
      </c>
      <c r="C5" s="1" t="s">
        <v>131</v>
      </c>
      <c r="D5" s="1">
        <v>7</v>
      </c>
      <c r="E5" s="1">
        <v>311</v>
      </c>
      <c r="F5" s="1">
        <v>311</v>
      </c>
      <c r="G5" s="1" t="s">
        <v>2</v>
      </c>
      <c r="H5" s="4" t="s">
        <v>2</v>
      </c>
      <c r="I5" s="4">
        <f t="shared" ref="I5:I14" si="0">IF(H5="NaN",0,H5*4)</f>
        <v>0</v>
      </c>
      <c r="J5" s="1" t="s">
        <v>2</v>
      </c>
      <c r="K5" s="1" t="s">
        <v>2</v>
      </c>
      <c r="L5" s="1" t="s">
        <v>19</v>
      </c>
    </row>
    <row r="6" spans="1:12" ht="48" x14ac:dyDescent="0.2">
      <c r="A6" s="1" t="s">
        <v>11</v>
      </c>
      <c r="B6" s="1" t="s">
        <v>12</v>
      </c>
      <c r="C6" s="1" t="s">
        <v>131</v>
      </c>
      <c r="D6" s="1">
        <v>8</v>
      </c>
      <c r="E6" s="1">
        <v>357</v>
      </c>
      <c r="F6" s="1">
        <v>357</v>
      </c>
      <c r="G6" s="1" t="s">
        <v>2</v>
      </c>
      <c r="H6" s="4">
        <v>4.1602436005231196</v>
      </c>
      <c r="I6" s="4">
        <f t="shared" si="0"/>
        <v>16.640974402092478</v>
      </c>
      <c r="J6" s="1">
        <v>4.1602436005231196</v>
      </c>
      <c r="K6" s="1" t="s">
        <v>2</v>
      </c>
      <c r="L6" s="1" t="s">
        <v>6</v>
      </c>
    </row>
    <row r="7" spans="1:12" ht="48" x14ac:dyDescent="0.2">
      <c r="A7" s="1" t="s">
        <v>13</v>
      </c>
      <c r="B7" s="1" t="s">
        <v>14</v>
      </c>
      <c r="C7" s="1" t="s">
        <v>131</v>
      </c>
      <c r="D7" s="1">
        <v>9</v>
      </c>
      <c r="E7" s="1">
        <v>424</v>
      </c>
      <c r="F7" s="1">
        <v>424</v>
      </c>
      <c r="G7" s="1" t="s">
        <v>2</v>
      </c>
      <c r="H7" s="4">
        <v>11.036205428399599</v>
      </c>
      <c r="I7" s="4">
        <f t="shared" si="0"/>
        <v>44.144821713598397</v>
      </c>
      <c r="J7" s="1">
        <v>11.036205428399599</v>
      </c>
      <c r="K7" s="1" t="s">
        <v>2</v>
      </c>
      <c r="L7" s="1" t="s">
        <v>3</v>
      </c>
    </row>
    <row r="8" spans="1:12" ht="48" x14ac:dyDescent="0.2">
      <c r="A8" s="1" t="s">
        <v>15</v>
      </c>
      <c r="B8" s="1" t="s">
        <v>16</v>
      </c>
      <c r="C8" s="1" t="s">
        <v>131</v>
      </c>
      <c r="D8" s="1">
        <v>10</v>
      </c>
      <c r="E8" s="1">
        <v>319</v>
      </c>
      <c r="F8" s="1">
        <v>319</v>
      </c>
      <c r="G8" s="1" t="s">
        <v>2</v>
      </c>
      <c r="H8" s="4" t="s">
        <v>2</v>
      </c>
      <c r="I8" s="4">
        <f t="shared" si="0"/>
        <v>0</v>
      </c>
      <c r="J8" s="1" t="s">
        <v>2</v>
      </c>
      <c r="K8" s="1" t="s">
        <v>2</v>
      </c>
      <c r="L8" s="1" t="s">
        <v>19</v>
      </c>
    </row>
    <row r="9" spans="1:12" ht="48" x14ac:dyDescent="0.2">
      <c r="A9" s="1" t="s">
        <v>17</v>
      </c>
      <c r="B9" s="1" t="s">
        <v>18</v>
      </c>
      <c r="C9" s="1" t="s">
        <v>131</v>
      </c>
      <c r="D9" s="1">
        <v>11</v>
      </c>
      <c r="E9" s="1">
        <v>329</v>
      </c>
      <c r="F9" s="1">
        <v>329</v>
      </c>
      <c r="G9" s="1" t="s">
        <v>2</v>
      </c>
      <c r="H9" s="4">
        <v>0.68684099859796</v>
      </c>
      <c r="I9" s="4">
        <f t="shared" si="0"/>
        <v>2.74736399439184</v>
      </c>
      <c r="J9" s="1">
        <v>0.68684099859796</v>
      </c>
      <c r="K9" s="1" t="s">
        <v>2</v>
      </c>
      <c r="L9" s="1" t="s">
        <v>6</v>
      </c>
    </row>
    <row r="10" spans="1:12" ht="48" x14ac:dyDescent="0.2">
      <c r="A10" s="1" t="s">
        <v>20</v>
      </c>
      <c r="B10" s="1" t="s">
        <v>21</v>
      </c>
      <c r="C10" s="1" t="s">
        <v>131</v>
      </c>
      <c r="D10" s="1">
        <v>12</v>
      </c>
      <c r="E10" s="1">
        <v>298</v>
      </c>
      <c r="F10" s="1">
        <v>298</v>
      </c>
      <c r="G10" s="1" t="s">
        <v>2</v>
      </c>
      <c r="H10" s="4" t="s">
        <v>2</v>
      </c>
      <c r="I10" s="4">
        <f t="shared" si="0"/>
        <v>0</v>
      </c>
      <c r="J10" s="1" t="s">
        <v>2</v>
      </c>
      <c r="K10" s="1" t="s">
        <v>2</v>
      </c>
      <c r="L10" s="1" t="s">
        <v>19</v>
      </c>
    </row>
    <row r="11" spans="1:12" ht="48" x14ac:dyDescent="0.2">
      <c r="A11" s="1" t="s">
        <v>22</v>
      </c>
      <c r="B11" s="1" t="s">
        <v>23</v>
      </c>
      <c r="C11" s="1" t="s">
        <v>131</v>
      </c>
      <c r="D11" s="1">
        <v>13</v>
      </c>
      <c r="E11" s="1">
        <v>323</v>
      </c>
      <c r="F11" s="1">
        <v>323</v>
      </c>
      <c r="G11" s="1" t="s">
        <v>2</v>
      </c>
      <c r="H11" s="4" t="s">
        <v>2</v>
      </c>
      <c r="I11" s="4">
        <f t="shared" si="0"/>
        <v>0</v>
      </c>
      <c r="J11" s="1" t="s">
        <v>2</v>
      </c>
      <c r="K11" s="1" t="s">
        <v>2</v>
      </c>
      <c r="L11" s="1" t="s">
        <v>19</v>
      </c>
    </row>
    <row r="12" spans="1:12" ht="48" x14ac:dyDescent="0.2">
      <c r="A12" s="1" t="s">
        <v>24</v>
      </c>
      <c r="B12" s="1" t="s">
        <v>25</v>
      </c>
      <c r="C12" s="1" t="s">
        <v>131</v>
      </c>
      <c r="D12" s="1">
        <v>14</v>
      </c>
      <c r="E12" s="1">
        <v>337</v>
      </c>
      <c r="F12" s="1">
        <v>337</v>
      </c>
      <c r="G12" s="1" t="s">
        <v>2</v>
      </c>
      <c r="H12" s="4">
        <v>1.7813537468290701</v>
      </c>
      <c r="I12" s="4">
        <f t="shared" si="0"/>
        <v>7.1254149873162804</v>
      </c>
      <c r="J12" s="1">
        <v>1.7813537468290701</v>
      </c>
      <c r="K12" s="1" t="s">
        <v>2</v>
      </c>
      <c r="L12" s="1" t="s">
        <v>6</v>
      </c>
    </row>
    <row r="13" spans="1:12" ht="48" x14ac:dyDescent="0.2">
      <c r="A13" s="1" t="s">
        <v>26</v>
      </c>
      <c r="B13" s="1" t="s">
        <v>27</v>
      </c>
      <c r="C13" s="1" t="s">
        <v>131</v>
      </c>
      <c r="D13" s="1">
        <v>15</v>
      </c>
      <c r="E13" s="1">
        <v>315</v>
      </c>
      <c r="F13" s="1">
        <v>315</v>
      </c>
      <c r="G13" s="1" t="s">
        <v>2</v>
      </c>
      <c r="H13" s="4" t="s">
        <v>2</v>
      </c>
      <c r="I13" s="4">
        <f t="shared" si="0"/>
        <v>0</v>
      </c>
      <c r="J13" s="1" t="s">
        <v>2</v>
      </c>
      <c r="K13" s="1" t="s">
        <v>2</v>
      </c>
      <c r="L13" s="1" t="s">
        <v>19</v>
      </c>
    </row>
    <row r="14" spans="1:12" ht="48" x14ac:dyDescent="0.2">
      <c r="A14" s="1" t="s">
        <v>28</v>
      </c>
      <c r="B14" s="1" t="s">
        <v>29</v>
      </c>
      <c r="C14" s="1" t="s">
        <v>131</v>
      </c>
      <c r="D14" s="1">
        <v>16</v>
      </c>
      <c r="E14" s="1">
        <v>373</v>
      </c>
      <c r="F14" s="1">
        <v>373</v>
      </c>
      <c r="G14" s="1" t="s">
        <v>2</v>
      </c>
      <c r="H14" s="4">
        <v>5.9056397495620798</v>
      </c>
      <c r="I14" s="4">
        <f t="shared" si="0"/>
        <v>23.622558998248319</v>
      </c>
      <c r="J14" s="1">
        <v>5.9056397495620798</v>
      </c>
      <c r="K14" s="1" t="s">
        <v>2</v>
      </c>
      <c r="L14" s="1" t="s">
        <v>3</v>
      </c>
    </row>
    <row r="15" spans="1:12" ht="48" x14ac:dyDescent="0.2">
      <c r="A15" s="1" t="s">
        <v>30</v>
      </c>
      <c r="B15" s="1" t="s">
        <v>31</v>
      </c>
      <c r="C15" s="1" t="s">
        <v>131</v>
      </c>
      <c r="D15" s="1">
        <v>17</v>
      </c>
      <c r="E15" s="1">
        <v>331</v>
      </c>
      <c r="F15" s="1">
        <v>331</v>
      </c>
      <c r="G15" s="1" t="s">
        <v>2</v>
      </c>
      <c r="H15" s="4">
        <v>0.97695101079865998</v>
      </c>
      <c r="I15" s="4">
        <f t="shared" ref="I15:I60" si="1">IF(H15="NaN",0,H15*2)</f>
        <v>1.95390202159732</v>
      </c>
      <c r="J15" s="1">
        <v>0.97695101079865998</v>
      </c>
      <c r="K15" s="1" t="s">
        <v>2</v>
      </c>
      <c r="L15" s="1" t="s">
        <v>6</v>
      </c>
    </row>
    <row r="16" spans="1:12" ht="48" x14ac:dyDescent="0.2">
      <c r="A16" s="1" t="s">
        <v>32</v>
      </c>
      <c r="B16" s="1" t="s">
        <v>33</v>
      </c>
      <c r="C16" s="1" t="s">
        <v>131</v>
      </c>
      <c r="D16" s="1">
        <v>18</v>
      </c>
      <c r="E16" s="1">
        <v>336</v>
      </c>
      <c r="F16" s="1">
        <v>336</v>
      </c>
      <c r="G16" s="1" t="s">
        <v>2</v>
      </c>
      <c r="H16" s="4">
        <v>1.65210006587333</v>
      </c>
      <c r="I16" s="4">
        <f t="shared" si="1"/>
        <v>3.3042001317466601</v>
      </c>
      <c r="J16" s="1">
        <v>1.65210006587333</v>
      </c>
      <c r="K16" s="1" t="s">
        <v>2</v>
      </c>
      <c r="L16" s="1" t="s">
        <v>6</v>
      </c>
    </row>
    <row r="17" spans="1:12" ht="48" x14ac:dyDescent="0.2">
      <c r="A17" s="1" t="s">
        <v>34</v>
      </c>
      <c r="B17" s="1" t="s">
        <v>35</v>
      </c>
      <c r="C17" s="1" t="s">
        <v>131</v>
      </c>
      <c r="D17" s="1">
        <v>19</v>
      </c>
      <c r="E17" s="1">
        <v>359</v>
      </c>
      <c r="F17" s="1">
        <v>359</v>
      </c>
      <c r="G17" s="1" t="s">
        <v>2</v>
      </c>
      <c r="H17" s="4">
        <v>4.3840054708367404</v>
      </c>
      <c r="I17" s="4">
        <f t="shared" si="1"/>
        <v>8.7680109416734808</v>
      </c>
      <c r="J17" s="1">
        <v>4.3840054708367404</v>
      </c>
      <c r="K17" s="1" t="s">
        <v>2</v>
      </c>
      <c r="L17" s="1" t="s">
        <v>6</v>
      </c>
    </row>
    <row r="18" spans="1:12" ht="48" x14ac:dyDescent="0.2">
      <c r="A18" s="1" t="s">
        <v>36</v>
      </c>
      <c r="B18" s="1" t="s">
        <v>37</v>
      </c>
      <c r="C18" s="1" t="s">
        <v>131</v>
      </c>
      <c r="D18" s="1">
        <v>20</v>
      </c>
      <c r="E18" s="1">
        <v>344</v>
      </c>
      <c r="F18" s="1">
        <v>344</v>
      </c>
      <c r="G18" s="1" t="s">
        <v>2</v>
      </c>
      <c r="H18" s="4">
        <v>2.6510064198250598</v>
      </c>
      <c r="I18" s="4">
        <f t="shared" si="1"/>
        <v>5.3020128396501196</v>
      </c>
      <c r="J18" s="1">
        <v>2.6510064198250598</v>
      </c>
      <c r="K18" s="1" t="s">
        <v>2</v>
      </c>
      <c r="L18" s="1" t="s">
        <v>6</v>
      </c>
    </row>
    <row r="19" spans="1:12" ht="48" x14ac:dyDescent="0.2">
      <c r="A19" s="1" t="s">
        <v>38</v>
      </c>
      <c r="B19" s="1" t="s">
        <v>39</v>
      </c>
      <c r="C19" s="1" t="s">
        <v>131</v>
      </c>
      <c r="D19" s="1">
        <v>21</v>
      </c>
      <c r="E19" s="1">
        <v>353</v>
      </c>
      <c r="F19" s="1">
        <v>353</v>
      </c>
      <c r="G19" s="1" t="s">
        <v>2</v>
      </c>
      <c r="H19" s="4">
        <v>3.7068047987336401</v>
      </c>
      <c r="I19" s="4">
        <f t="shared" si="1"/>
        <v>7.4136095974672802</v>
      </c>
      <c r="J19" s="1">
        <v>3.7068047987336401</v>
      </c>
      <c r="K19" s="1" t="s">
        <v>2</v>
      </c>
      <c r="L19" s="1" t="s">
        <v>6</v>
      </c>
    </row>
    <row r="20" spans="1:12" ht="48" x14ac:dyDescent="0.2">
      <c r="A20" s="1" t="s">
        <v>40</v>
      </c>
      <c r="B20" s="1" t="s">
        <v>41</v>
      </c>
      <c r="C20" s="1" t="s">
        <v>131</v>
      </c>
      <c r="D20" s="1">
        <v>22</v>
      </c>
      <c r="E20" s="1">
        <v>295</v>
      </c>
      <c r="F20" s="1">
        <v>295</v>
      </c>
      <c r="G20" s="1" t="s">
        <v>2</v>
      </c>
      <c r="H20" s="4" t="s">
        <v>2</v>
      </c>
      <c r="I20" s="4">
        <f t="shared" si="1"/>
        <v>0</v>
      </c>
      <c r="J20" s="1" t="s">
        <v>2</v>
      </c>
      <c r="K20" s="1" t="s">
        <v>2</v>
      </c>
      <c r="L20" s="1" t="s">
        <v>19</v>
      </c>
    </row>
    <row r="21" spans="1:12" ht="48" x14ac:dyDescent="0.2">
      <c r="A21" s="1" t="s">
        <v>42</v>
      </c>
      <c r="B21" s="1" t="s">
        <v>43</v>
      </c>
      <c r="C21" s="1" t="s">
        <v>131</v>
      </c>
      <c r="D21" s="1">
        <v>23</v>
      </c>
      <c r="E21" s="1">
        <v>307</v>
      </c>
      <c r="F21" s="1">
        <v>307</v>
      </c>
      <c r="G21" s="1" t="s">
        <v>2</v>
      </c>
      <c r="H21" s="4" t="s">
        <v>2</v>
      </c>
      <c r="I21" s="4">
        <f t="shared" si="1"/>
        <v>0</v>
      </c>
      <c r="J21" s="1" t="s">
        <v>2</v>
      </c>
      <c r="K21" s="1" t="s">
        <v>2</v>
      </c>
      <c r="L21" s="1" t="s">
        <v>19</v>
      </c>
    </row>
    <row r="22" spans="1:12" ht="48" x14ac:dyDescent="0.2">
      <c r="A22" s="1" t="s">
        <v>44</v>
      </c>
      <c r="B22" s="1" t="s">
        <v>45</v>
      </c>
      <c r="C22" s="1" t="s">
        <v>131</v>
      </c>
      <c r="D22" s="1">
        <v>24</v>
      </c>
      <c r="E22" s="1">
        <v>314</v>
      </c>
      <c r="F22" s="1">
        <v>314</v>
      </c>
      <c r="G22" s="1" t="s">
        <v>2</v>
      </c>
      <c r="H22" s="4" t="s">
        <v>2</v>
      </c>
      <c r="I22" s="4">
        <f t="shared" si="1"/>
        <v>0</v>
      </c>
      <c r="J22" s="1" t="s">
        <v>2</v>
      </c>
      <c r="K22" s="1" t="s">
        <v>2</v>
      </c>
      <c r="L22" s="1" t="s">
        <v>19</v>
      </c>
    </row>
    <row r="23" spans="1:12" ht="48" x14ac:dyDescent="0.2">
      <c r="A23" s="1" t="s">
        <v>46</v>
      </c>
      <c r="B23" s="1" t="s">
        <v>47</v>
      </c>
      <c r="C23" s="1" t="s">
        <v>131</v>
      </c>
      <c r="D23" s="1">
        <v>25</v>
      </c>
      <c r="E23" s="1">
        <v>305</v>
      </c>
      <c r="F23" s="1">
        <v>305</v>
      </c>
      <c r="G23" s="1" t="s">
        <v>2</v>
      </c>
      <c r="H23" s="4" t="s">
        <v>2</v>
      </c>
      <c r="I23" s="4">
        <f>IF(H23="NaN",0,H23*2)</f>
        <v>0</v>
      </c>
      <c r="J23" s="1" t="s">
        <v>2</v>
      </c>
      <c r="K23" s="1" t="s">
        <v>2</v>
      </c>
      <c r="L23" s="1" t="s">
        <v>19</v>
      </c>
    </row>
    <row r="24" spans="1:12" ht="48" x14ac:dyDescent="0.2">
      <c r="A24" s="1" t="s">
        <v>48</v>
      </c>
      <c r="B24" s="1" t="s">
        <v>49</v>
      </c>
      <c r="C24" s="1" t="s">
        <v>131</v>
      </c>
      <c r="D24" s="1">
        <v>26</v>
      </c>
      <c r="E24" s="1">
        <v>283</v>
      </c>
      <c r="F24" s="1">
        <v>283</v>
      </c>
      <c r="G24" s="1" t="s">
        <v>2</v>
      </c>
      <c r="H24" s="4" t="s">
        <v>2</v>
      </c>
      <c r="I24" s="4">
        <f t="shared" si="1"/>
        <v>0</v>
      </c>
      <c r="J24" s="1" t="s">
        <v>2</v>
      </c>
      <c r="K24" s="1" t="s">
        <v>2</v>
      </c>
      <c r="L24" s="1" t="s">
        <v>19</v>
      </c>
    </row>
    <row r="25" spans="1:12" ht="48" x14ac:dyDescent="0.2">
      <c r="A25" s="1" t="s">
        <v>50</v>
      </c>
      <c r="B25" s="1" t="s">
        <v>51</v>
      </c>
      <c r="C25" s="1" t="s">
        <v>131</v>
      </c>
      <c r="D25" s="1">
        <v>27</v>
      </c>
      <c r="E25" s="1">
        <v>315</v>
      </c>
      <c r="F25" s="1">
        <v>315</v>
      </c>
      <c r="G25" s="1" t="s">
        <v>2</v>
      </c>
      <c r="H25" s="4" t="s">
        <v>2</v>
      </c>
      <c r="I25" s="4">
        <f t="shared" si="1"/>
        <v>0</v>
      </c>
      <c r="J25" s="1" t="s">
        <v>2</v>
      </c>
      <c r="K25" s="1" t="s">
        <v>2</v>
      </c>
      <c r="L25" s="1" t="s">
        <v>19</v>
      </c>
    </row>
    <row r="26" spans="1:12" ht="48" x14ac:dyDescent="0.2">
      <c r="A26" s="1" t="s">
        <v>52</v>
      </c>
      <c r="B26" s="1" t="s">
        <v>53</v>
      </c>
      <c r="C26" s="1" t="s">
        <v>131</v>
      </c>
      <c r="D26" s="1">
        <v>28</v>
      </c>
      <c r="E26" s="1">
        <v>315</v>
      </c>
      <c r="F26" s="1">
        <v>315</v>
      </c>
      <c r="G26" s="1" t="s">
        <v>2</v>
      </c>
      <c r="H26" s="4" t="s">
        <v>2</v>
      </c>
      <c r="I26" s="4">
        <f>IF(H26="NaN",0,H26*4)</f>
        <v>0</v>
      </c>
      <c r="J26" s="1" t="s">
        <v>2</v>
      </c>
      <c r="K26" s="1" t="s">
        <v>2</v>
      </c>
      <c r="L26" s="1" t="s">
        <v>19</v>
      </c>
    </row>
    <row r="27" spans="1:12" ht="48" x14ac:dyDescent="0.2">
      <c r="A27" s="1" t="s">
        <v>54</v>
      </c>
      <c r="B27" s="1" t="s">
        <v>55</v>
      </c>
      <c r="C27" s="1" t="s">
        <v>131</v>
      </c>
      <c r="D27" s="1">
        <v>29</v>
      </c>
      <c r="E27" s="1">
        <v>297</v>
      </c>
      <c r="F27" s="1">
        <v>297</v>
      </c>
      <c r="G27" s="1" t="s">
        <v>2</v>
      </c>
      <c r="H27" s="4" t="s">
        <v>2</v>
      </c>
      <c r="I27" s="4">
        <f t="shared" si="1"/>
        <v>0</v>
      </c>
      <c r="J27" s="1" t="s">
        <v>2</v>
      </c>
      <c r="K27" s="1" t="s">
        <v>2</v>
      </c>
      <c r="L27" s="1" t="s">
        <v>19</v>
      </c>
    </row>
    <row r="28" spans="1:12" ht="48" x14ac:dyDescent="0.2">
      <c r="A28" s="1" t="s">
        <v>56</v>
      </c>
      <c r="B28" s="1" t="s">
        <v>57</v>
      </c>
      <c r="C28" s="1" t="s">
        <v>131</v>
      </c>
      <c r="D28" s="1">
        <v>30</v>
      </c>
      <c r="E28" s="1">
        <v>311</v>
      </c>
      <c r="F28" s="1">
        <v>311</v>
      </c>
      <c r="G28" s="1" t="s">
        <v>2</v>
      </c>
      <c r="H28" s="4" t="s">
        <v>2</v>
      </c>
      <c r="I28" s="4">
        <f t="shared" si="1"/>
        <v>0</v>
      </c>
      <c r="J28" s="1" t="s">
        <v>2</v>
      </c>
      <c r="K28" s="1" t="s">
        <v>2</v>
      </c>
      <c r="L28" s="1" t="s">
        <v>19</v>
      </c>
    </row>
    <row r="29" spans="1:12" ht="48" x14ac:dyDescent="0.2">
      <c r="A29" s="1" t="s">
        <v>58</v>
      </c>
      <c r="B29" s="1" t="s">
        <v>59</v>
      </c>
      <c r="C29" s="1" t="s">
        <v>131</v>
      </c>
      <c r="D29" s="1">
        <v>31</v>
      </c>
      <c r="E29" s="1">
        <v>341</v>
      </c>
      <c r="F29" s="1">
        <v>341</v>
      </c>
      <c r="G29" s="1" t="s">
        <v>2</v>
      </c>
      <c r="H29" s="4">
        <v>2.2848644114304499</v>
      </c>
      <c r="I29" s="4">
        <f t="shared" si="1"/>
        <v>4.5697288228608999</v>
      </c>
      <c r="J29" s="1">
        <v>2.2848644114304499</v>
      </c>
      <c r="K29" s="1" t="s">
        <v>2</v>
      </c>
      <c r="L29" s="1" t="s">
        <v>6</v>
      </c>
    </row>
    <row r="30" spans="1:12" ht="48" x14ac:dyDescent="0.2">
      <c r="A30" s="1" t="s">
        <v>60</v>
      </c>
      <c r="B30" s="1" t="s">
        <v>61</v>
      </c>
      <c r="C30" s="1" t="s">
        <v>131</v>
      </c>
      <c r="D30" s="1">
        <v>32</v>
      </c>
      <c r="E30" s="1">
        <v>316</v>
      </c>
      <c r="F30" s="1">
        <v>316</v>
      </c>
      <c r="G30" s="1" t="s">
        <v>2</v>
      </c>
      <c r="H30" s="4" t="s">
        <v>2</v>
      </c>
      <c r="I30" s="4">
        <f t="shared" si="1"/>
        <v>0</v>
      </c>
      <c r="J30" s="1" t="s">
        <v>2</v>
      </c>
      <c r="K30" s="1" t="s">
        <v>2</v>
      </c>
      <c r="L30" s="1" t="s">
        <v>19</v>
      </c>
    </row>
    <row r="31" spans="1:12" ht="48" x14ac:dyDescent="0.2">
      <c r="A31" s="1" t="s">
        <v>62</v>
      </c>
      <c r="B31" s="1" t="s">
        <v>63</v>
      </c>
      <c r="C31" s="1" t="s">
        <v>132</v>
      </c>
      <c r="D31" s="1">
        <v>3</v>
      </c>
      <c r="E31" s="1">
        <v>383</v>
      </c>
      <c r="F31" s="1">
        <v>383</v>
      </c>
      <c r="G31" s="1" t="s">
        <v>2</v>
      </c>
      <c r="H31" s="4">
        <v>6.9544657280808897</v>
      </c>
      <c r="I31" s="4">
        <f t="shared" si="1"/>
        <v>13.908931456161779</v>
      </c>
      <c r="J31" s="1">
        <v>6.9544657280808897</v>
      </c>
      <c r="K31" s="1" t="s">
        <v>2</v>
      </c>
      <c r="L31" s="1" t="s">
        <v>3</v>
      </c>
    </row>
    <row r="32" spans="1:12" ht="48" x14ac:dyDescent="0.2">
      <c r="A32" s="1" t="s">
        <v>64</v>
      </c>
      <c r="B32" s="1" t="s">
        <v>65</v>
      </c>
      <c r="C32" s="1" t="s">
        <v>132</v>
      </c>
      <c r="D32" s="1">
        <v>4</v>
      </c>
      <c r="E32" s="1">
        <v>385</v>
      </c>
      <c r="F32" s="1">
        <v>385</v>
      </c>
      <c r="G32" s="1" t="s">
        <v>2</v>
      </c>
      <c r="H32" s="4">
        <v>7.1611307703582403</v>
      </c>
      <c r="I32" s="4">
        <f t="shared" si="1"/>
        <v>14.322261540716481</v>
      </c>
      <c r="J32" s="1">
        <v>7.1611307703582403</v>
      </c>
      <c r="K32" s="1" t="s">
        <v>2</v>
      </c>
      <c r="L32" s="1" t="s">
        <v>3</v>
      </c>
    </row>
    <row r="33" spans="1:12" ht="48" x14ac:dyDescent="0.2">
      <c r="A33" s="1" t="s">
        <v>66</v>
      </c>
      <c r="B33" s="1" t="s">
        <v>67</v>
      </c>
      <c r="C33" s="1" t="s">
        <v>132</v>
      </c>
      <c r="D33" s="1">
        <v>5</v>
      </c>
      <c r="E33" s="1">
        <v>400</v>
      </c>
      <c r="F33" s="1">
        <v>400</v>
      </c>
      <c r="G33" s="1" t="s">
        <v>2</v>
      </c>
      <c r="H33" s="4">
        <v>8.6833318144529503</v>
      </c>
      <c r="I33" s="4">
        <f t="shared" si="1"/>
        <v>17.366663628905901</v>
      </c>
      <c r="J33" s="1">
        <v>8.6833318144529503</v>
      </c>
      <c r="K33" s="1" t="s">
        <v>2</v>
      </c>
      <c r="L33" s="1" t="s">
        <v>3</v>
      </c>
    </row>
    <row r="34" spans="1:12" ht="48" x14ac:dyDescent="0.2">
      <c r="A34" s="1" t="s">
        <v>68</v>
      </c>
      <c r="B34" s="1" t="s">
        <v>69</v>
      </c>
      <c r="C34" s="1" t="s">
        <v>132</v>
      </c>
      <c r="D34" s="1">
        <v>6</v>
      </c>
      <c r="E34" s="1">
        <v>393</v>
      </c>
      <c r="F34" s="1">
        <v>393</v>
      </c>
      <c r="G34" s="1" t="s">
        <v>2</v>
      </c>
      <c r="H34" s="4">
        <v>7.9787236423824099</v>
      </c>
      <c r="I34" s="4">
        <f t="shared" si="1"/>
        <v>15.95744728476482</v>
      </c>
      <c r="J34" s="1">
        <v>7.9787236423824099</v>
      </c>
      <c r="K34" s="1" t="s">
        <v>2</v>
      </c>
      <c r="L34" s="1" t="s">
        <v>3</v>
      </c>
    </row>
    <row r="35" spans="1:12" ht="48" x14ac:dyDescent="0.2">
      <c r="A35" s="1" t="s">
        <v>70</v>
      </c>
      <c r="B35" s="1" t="s">
        <v>71</v>
      </c>
      <c r="C35" s="1" t="s">
        <v>132</v>
      </c>
      <c r="D35" s="1">
        <v>7</v>
      </c>
      <c r="E35" s="1">
        <v>361</v>
      </c>
      <c r="F35" s="1">
        <v>361</v>
      </c>
      <c r="G35" s="1" t="s">
        <v>2</v>
      </c>
      <c r="H35" s="4">
        <v>4.6059728841247098</v>
      </c>
      <c r="I35" s="4">
        <f t="shared" si="1"/>
        <v>9.2119457682494197</v>
      </c>
      <c r="J35" s="1">
        <v>4.6059728841247098</v>
      </c>
      <c r="K35" s="1" t="s">
        <v>2</v>
      </c>
      <c r="L35" s="1" t="s">
        <v>6</v>
      </c>
    </row>
    <row r="36" spans="1:12" ht="48" x14ac:dyDescent="0.2">
      <c r="A36" s="1" t="s">
        <v>72</v>
      </c>
      <c r="B36" s="1" t="s">
        <v>73</v>
      </c>
      <c r="C36" s="1" t="s">
        <v>132</v>
      </c>
      <c r="D36" s="1">
        <v>8</v>
      </c>
      <c r="E36" s="1">
        <v>395</v>
      </c>
      <c r="F36" s="1">
        <v>395</v>
      </c>
      <c r="G36" s="1" t="s">
        <v>2</v>
      </c>
      <c r="H36" s="4">
        <v>8.1810108703466309</v>
      </c>
      <c r="I36" s="4">
        <f t="shared" si="1"/>
        <v>16.362021740693262</v>
      </c>
      <c r="J36" s="1">
        <v>8.1810108703466309</v>
      </c>
      <c r="K36" s="1" t="s">
        <v>2</v>
      </c>
      <c r="L36" s="1" t="s">
        <v>3</v>
      </c>
    </row>
    <row r="37" spans="1:12" ht="48" x14ac:dyDescent="0.2">
      <c r="A37" s="1" t="s">
        <v>74</v>
      </c>
      <c r="B37" s="1" t="s">
        <v>75</v>
      </c>
      <c r="C37" s="1" t="s">
        <v>132</v>
      </c>
      <c r="D37" s="1">
        <v>9</v>
      </c>
      <c r="E37" s="1">
        <v>340</v>
      </c>
      <c r="F37" s="1">
        <v>340</v>
      </c>
      <c r="G37" s="1" t="s">
        <v>2</v>
      </c>
      <c r="H37" s="4">
        <v>2.16079229618152</v>
      </c>
      <c r="I37" s="4">
        <f t="shared" si="1"/>
        <v>4.32158459236304</v>
      </c>
      <c r="J37" s="1">
        <v>2.16079229618152</v>
      </c>
      <c r="K37" s="1" t="s">
        <v>2</v>
      </c>
      <c r="L37" s="1" t="s">
        <v>6</v>
      </c>
    </row>
    <row r="38" spans="1:12" ht="48" x14ac:dyDescent="0.2">
      <c r="A38" s="1" t="s">
        <v>76</v>
      </c>
      <c r="B38" s="1" t="s">
        <v>77</v>
      </c>
      <c r="C38" s="1" t="s">
        <v>132</v>
      </c>
      <c r="D38" s="1">
        <v>10</v>
      </c>
      <c r="E38" s="1">
        <v>328</v>
      </c>
      <c r="F38" s="1">
        <v>328</v>
      </c>
      <c r="G38" s="1" t="s">
        <v>2</v>
      </c>
      <c r="H38" s="4">
        <v>0.53456255580822598</v>
      </c>
      <c r="I38" s="4">
        <f t="shared" si="1"/>
        <v>1.069125111616452</v>
      </c>
      <c r="J38" s="1">
        <v>0.53456255580822598</v>
      </c>
      <c r="K38" s="1" t="s">
        <v>2</v>
      </c>
      <c r="L38" s="1" t="s">
        <v>6</v>
      </c>
    </row>
    <row r="39" spans="1:12" ht="48" x14ac:dyDescent="0.2">
      <c r="A39" s="1" t="s">
        <v>78</v>
      </c>
      <c r="B39" s="1" t="s">
        <v>79</v>
      </c>
      <c r="C39" s="1" t="s">
        <v>132</v>
      </c>
      <c r="D39" s="1">
        <v>11</v>
      </c>
      <c r="E39" s="1">
        <v>410</v>
      </c>
      <c r="F39" s="1">
        <v>410</v>
      </c>
      <c r="G39" s="1" t="s">
        <v>2</v>
      </c>
      <c r="H39" s="4">
        <v>9.6746124210523998</v>
      </c>
      <c r="I39" s="4">
        <f t="shared" si="1"/>
        <v>19.3492248421048</v>
      </c>
      <c r="J39" s="1">
        <v>9.6746124210523998</v>
      </c>
      <c r="K39" s="1" t="s">
        <v>2</v>
      </c>
      <c r="L39" s="1" t="s">
        <v>3</v>
      </c>
    </row>
    <row r="40" spans="1:12" ht="48" x14ac:dyDescent="0.2">
      <c r="A40" s="1" t="s">
        <v>80</v>
      </c>
      <c r="B40" s="1" t="s">
        <v>81</v>
      </c>
      <c r="C40" s="1" t="s">
        <v>132</v>
      </c>
      <c r="D40" s="1">
        <v>12</v>
      </c>
      <c r="E40" s="1">
        <v>363</v>
      </c>
      <c r="F40" s="1">
        <v>363</v>
      </c>
      <c r="G40" s="1" t="s">
        <v>2</v>
      </c>
      <c r="H40" s="4">
        <v>4.82625894644461</v>
      </c>
      <c r="I40" s="4">
        <f t="shared" si="1"/>
        <v>9.6525178928892199</v>
      </c>
      <c r="J40" s="1">
        <v>4.82625894644461</v>
      </c>
      <c r="K40" s="1" t="s">
        <v>2</v>
      </c>
      <c r="L40" s="1" t="s">
        <v>3</v>
      </c>
    </row>
    <row r="41" spans="1:12" ht="48" x14ac:dyDescent="0.2">
      <c r="A41" s="1" t="s">
        <v>82</v>
      </c>
      <c r="B41" s="1" t="s">
        <v>83</v>
      </c>
      <c r="C41" s="1" t="s">
        <v>132</v>
      </c>
      <c r="D41" s="1">
        <v>13</v>
      </c>
      <c r="E41" s="1">
        <v>408</v>
      </c>
      <c r="F41" s="1">
        <v>408</v>
      </c>
      <c r="G41" s="1" t="s">
        <v>2</v>
      </c>
      <c r="H41" s="4">
        <v>9.4776936397517506</v>
      </c>
      <c r="I41" s="4">
        <f t="shared" si="1"/>
        <v>18.955387279503501</v>
      </c>
      <c r="J41" s="1">
        <v>9.4776936397517506</v>
      </c>
      <c r="K41" s="1" t="s">
        <v>2</v>
      </c>
      <c r="L41" s="1" t="s">
        <v>3</v>
      </c>
    </row>
    <row r="42" spans="1:12" ht="48" x14ac:dyDescent="0.2">
      <c r="A42" s="1" t="s">
        <v>84</v>
      </c>
      <c r="B42" s="1" t="s">
        <v>85</v>
      </c>
      <c r="C42" s="1" t="s">
        <v>132</v>
      </c>
      <c r="D42" s="1">
        <v>14</v>
      </c>
      <c r="E42" s="1">
        <v>397</v>
      </c>
      <c r="F42" s="1">
        <v>397</v>
      </c>
      <c r="G42" s="1" t="s">
        <v>2</v>
      </c>
      <c r="H42" s="4">
        <v>8.3825092489230002</v>
      </c>
      <c r="I42" s="4">
        <f t="shared" si="1"/>
        <v>16.765018497846</v>
      </c>
      <c r="J42" s="1">
        <v>8.3825092489230002</v>
      </c>
      <c r="K42" s="1" t="s">
        <v>2</v>
      </c>
      <c r="L42" s="1" t="s">
        <v>3</v>
      </c>
    </row>
    <row r="43" spans="1:12" ht="48" x14ac:dyDescent="0.2">
      <c r="A43" s="1" t="s">
        <v>86</v>
      </c>
      <c r="B43" s="1" t="s">
        <v>87</v>
      </c>
      <c r="C43" s="1" t="s">
        <v>132</v>
      </c>
      <c r="D43" s="1">
        <v>15</v>
      </c>
      <c r="E43" s="1">
        <v>399</v>
      </c>
      <c r="F43" s="1">
        <v>399</v>
      </c>
      <c r="G43" s="1" t="s">
        <v>2</v>
      </c>
      <c r="H43" s="4">
        <v>8.5832436952263595</v>
      </c>
      <c r="I43" s="4">
        <f t="shared" si="1"/>
        <v>17.166487390452719</v>
      </c>
      <c r="J43" s="1">
        <v>8.5832436952263595</v>
      </c>
      <c r="K43" s="1" t="s">
        <v>2</v>
      </c>
      <c r="L43" s="1" t="s">
        <v>3</v>
      </c>
    </row>
    <row r="44" spans="1:12" ht="48" x14ac:dyDescent="0.2">
      <c r="A44" s="1" t="s">
        <v>88</v>
      </c>
      <c r="B44" s="1" t="s">
        <v>89</v>
      </c>
      <c r="C44" s="1" t="s">
        <v>132</v>
      </c>
      <c r="D44" s="1">
        <v>16</v>
      </c>
      <c r="E44" s="1">
        <v>371</v>
      </c>
      <c r="F44" s="1">
        <v>371</v>
      </c>
      <c r="G44" s="1" t="s">
        <v>2</v>
      </c>
      <c r="H44" s="4">
        <v>5.6924463880021996</v>
      </c>
      <c r="I44" s="4">
        <f t="shared" si="1"/>
        <v>11.384892776004399</v>
      </c>
      <c r="J44" s="1">
        <v>5.6924463880021996</v>
      </c>
      <c r="K44" s="1" t="s">
        <v>2</v>
      </c>
      <c r="L44" s="1" t="s">
        <v>3</v>
      </c>
    </row>
    <row r="45" spans="1:12" ht="48" x14ac:dyDescent="0.2">
      <c r="A45" s="1" t="s">
        <v>90</v>
      </c>
      <c r="B45" s="1" t="s">
        <v>91</v>
      </c>
      <c r="C45" s="1" t="s">
        <v>132</v>
      </c>
      <c r="D45" s="1">
        <v>17</v>
      </c>
      <c r="E45" s="1">
        <v>358</v>
      </c>
      <c r="F45" s="1">
        <v>358</v>
      </c>
      <c r="G45" s="1" t="s">
        <v>2</v>
      </c>
      <c r="H45" s="4">
        <v>4.2723564837006798</v>
      </c>
      <c r="I45" s="4">
        <f t="shared" si="1"/>
        <v>8.5447129674013595</v>
      </c>
      <c r="J45" s="1">
        <v>4.2723564837006798</v>
      </c>
      <c r="K45" s="1" t="s">
        <v>2</v>
      </c>
      <c r="L45" s="1" t="s">
        <v>6</v>
      </c>
    </row>
    <row r="46" spans="1:12" ht="48" x14ac:dyDescent="0.2">
      <c r="A46" s="1" t="s">
        <v>92</v>
      </c>
      <c r="B46" s="1" t="s">
        <v>93</v>
      </c>
      <c r="C46" s="1" t="s">
        <v>132</v>
      </c>
      <c r="D46" s="1">
        <v>18</v>
      </c>
      <c r="E46" s="1">
        <v>368</v>
      </c>
      <c r="F46" s="1">
        <v>368</v>
      </c>
      <c r="G46" s="1" t="s">
        <v>2</v>
      </c>
      <c r="H46" s="4">
        <v>5.3702511389716996</v>
      </c>
      <c r="I46" s="4">
        <f t="shared" si="1"/>
        <v>10.740502277943399</v>
      </c>
      <c r="J46" s="1">
        <v>5.3702511389716996</v>
      </c>
      <c r="K46" s="1" t="s">
        <v>2</v>
      </c>
      <c r="L46" s="1" t="s">
        <v>3</v>
      </c>
    </row>
    <row r="47" spans="1:12" ht="48" x14ac:dyDescent="0.2">
      <c r="A47" s="1" t="s">
        <v>94</v>
      </c>
      <c r="B47" s="1" t="s">
        <v>95</v>
      </c>
      <c r="C47" s="1" t="s">
        <v>132</v>
      </c>
      <c r="D47" s="1">
        <v>19</v>
      </c>
      <c r="E47" s="1">
        <v>427</v>
      </c>
      <c r="F47" s="1">
        <v>427</v>
      </c>
      <c r="G47" s="1" t="s">
        <v>2</v>
      </c>
      <c r="H47" s="4">
        <v>11.3244299304531</v>
      </c>
      <c r="I47" s="4">
        <f t="shared" si="1"/>
        <v>22.6488598609062</v>
      </c>
      <c r="J47" s="1">
        <v>11.3244299304531</v>
      </c>
      <c r="K47" s="1" t="s">
        <v>2</v>
      </c>
      <c r="L47" s="1" t="s">
        <v>3</v>
      </c>
    </row>
    <row r="48" spans="1:12" ht="48" x14ac:dyDescent="0.2">
      <c r="A48" s="1" t="s">
        <v>96</v>
      </c>
      <c r="B48" s="1" t="s">
        <v>97</v>
      </c>
      <c r="C48" s="1" t="s">
        <v>132</v>
      </c>
      <c r="D48" s="1">
        <v>20</v>
      </c>
      <c r="E48" s="1">
        <v>382</v>
      </c>
      <c r="F48" s="1">
        <v>382</v>
      </c>
      <c r="G48" s="1" t="s">
        <v>2</v>
      </c>
      <c r="H48" s="4">
        <v>6.8507692396893001</v>
      </c>
      <c r="I48" s="4">
        <f t="shared" si="1"/>
        <v>13.7015384793786</v>
      </c>
      <c r="J48" s="1">
        <v>6.8507692396893001</v>
      </c>
      <c r="K48" s="1" t="s">
        <v>2</v>
      </c>
      <c r="L48" s="1" t="s">
        <v>3</v>
      </c>
    </row>
    <row r="49" spans="1:12" ht="48" x14ac:dyDescent="0.2">
      <c r="A49" s="1" t="s">
        <v>98</v>
      </c>
      <c r="B49" s="1" t="s">
        <v>99</v>
      </c>
      <c r="C49" s="1" t="s">
        <v>132</v>
      </c>
      <c r="D49" s="1">
        <v>21</v>
      </c>
      <c r="E49" s="1">
        <v>362</v>
      </c>
      <c r="F49" s="1">
        <v>362</v>
      </c>
      <c r="G49" s="1" t="s">
        <v>2</v>
      </c>
      <c r="H49" s="4">
        <v>4.7163195477530397</v>
      </c>
      <c r="I49" s="4">
        <f t="shared" si="1"/>
        <v>9.4326390955060795</v>
      </c>
      <c r="J49" s="1">
        <v>4.7163195477530397</v>
      </c>
      <c r="K49" s="1" t="s">
        <v>2</v>
      </c>
      <c r="L49" s="1" t="s">
        <v>6</v>
      </c>
    </row>
    <row r="50" spans="1:12" ht="48" x14ac:dyDescent="0.2">
      <c r="A50" s="1" t="s">
        <v>100</v>
      </c>
      <c r="B50" s="1" t="s">
        <v>101</v>
      </c>
      <c r="C50" s="1" t="s">
        <v>132</v>
      </c>
      <c r="D50" s="1">
        <v>22</v>
      </c>
      <c r="E50" s="1">
        <v>404</v>
      </c>
      <c r="F50" s="1">
        <v>404</v>
      </c>
      <c r="G50" s="1" t="s">
        <v>2</v>
      </c>
      <c r="H50" s="4">
        <v>9.0818881408335894</v>
      </c>
      <c r="I50" s="4">
        <f t="shared" si="1"/>
        <v>18.163776281667179</v>
      </c>
      <c r="J50" s="1">
        <v>9.0818881408335894</v>
      </c>
      <c r="K50" s="1" t="s">
        <v>2</v>
      </c>
      <c r="L50" s="1" t="s">
        <v>3</v>
      </c>
    </row>
    <row r="51" spans="1:12" ht="48" x14ac:dyDescent="0.2">
      <c r="A51" s="1" t="s">
        <v>102</v>
      </c>
      <c r="B51" s="1" t="s">
        <v>103</v>
      </c>
      <c r="C51" s="1" t="s">
        <v>132</v>
      </c>
      <c r="D51" s="1">
        <v>23</v>
      </c>
      <c r="E51" s="1">
        <v>381</v>
      </c>
      <c r="F51" s="1">
        <v>381</v>
      </c>
      <c r="G51" s="1" t="s">
        <v>2</v>
      </c>
      <c r="H51" s="4">
        <v>6.7468236670379103</v>
      </c>
      <c r="I51" s="4">
        <f t="shared" si="1"/>
        <v>13.493647334075821</v>
      </c>
      <c r="J51" s="1">
        <v>6.7468236670379103</v>
      </c>
      <c r="K51" s="1" t="s">
        <v>2</v>
      </c>
      <c r="L51" s="1" t="s">
        <v>3</v>
      </c>
    </row>
    <row r="52" spans="1:12" ht="48" x14ac:dyDescent="0.2">
      <c r="A52" s="1" t="s">
        <v>104</v>
      </c>
      <c r="B52" s="1" t="s">
        <v>105</v>
      </c>
      <c r="C52" s="1" t="s">
        <v>132</v>
      </c>
      <c r="D52" s="1">
        <v>24</v>
      </c>
      <c r="E52" s="1">
        <v>414</v>
      </c>
      <c r="F52" s="1">
        <v>414</v>
      </c>
      <c r="G52" s="1" t="s">
        <v>2</v>
      </c>
      <c r="H52" s="4">
        <v>10.0665689482405</v>
      </c>
      <c r="I52" s="4">
        <f t="shared" si="1"/>
        <v>20.133137896480999</v>
      </c>
      <c r="J52" s="1">
        <v>10.0665689482405</v>
      </c>
      <c r="K52" s="1" t="s">
        <v>2</v>
      </c>
      <c r="L52" s="1" t="s">
        <v>3</v>
      </c>
    </row>
    <row r="53" spans="1:12" ht="48" x14ac:dyDescent="0.2">
      <c r="A53" s="1" t="s">
        <v>106</v>
      </c>
      <c r="B53" s="1" t="s">
        <v>107</v>
      </c>
      <c r="C53" s="1" t="s">
        <v>132</v>
      </c>
      <c r="D53" s="1">
        <v>25</v>
      </c>
      <c r="E53" s="1">
        <v>373</v>
      </c>
      <c r="F53" s="1">
        <v>373</v>
      </c>
      <c r="G53" s="1" t="s">
        <v>2</v>
      </c>
      <c r="H53" s="4">
        <v>5.9056397495620798</v>
      </c>
      <c r="I53" s="4">
        <f t="shared" si="1"/>
        <v>11.81127949912416</v>
      </c>
      <c r="J53" s="1">
        <v>5.9056397495620798</v>
      </c>
      <c r="K53" s="1" t="s">
        <v>2</v>
      </c>
      <c r="L53" s="1" t="s">
        <v>3</v>
      </c>
    </row>
    <row r="54" spans="1:12" ht="48" x14ac:dyDescent="0.2">
      <c r="A54" s="1" t="s">
        <v>108</v>
      </c>
      <c r="B54" s="1" t="s">
        <v>109</v>
      </c>
      <c r="C54" s="1" t="s">
        <v>132</v>
      </c>
      <c r="D54" s="1">
        <v>26</v>
      </c>
      <c r="E54" s="1">
        <v>355</v>
      </c>
      <c r="F54" s="1">
        <v>355</v>
      </c>
      <c r="G54" s="1" t="s">
        <v>2</v>
      </c>
      <c r="H54" s="4">
        <v>3.9345589554162199</v>
      </c>
      <c r="I54" s="4">
        <f t="shared" si="1"/>
        <v>7.8691179108324398</v>
      </c>
      <c r="J54" s="1">
        <v>3.9345589554162199</v>
      </c>
      <c r="K54" s="1" t="s">
        <v>2</v>
      </c>
      <c r="L54" s="1" t="s">
        <v>6</v>
      </c>
    </row>
    <row r="55" spans="1:12" ht="48" x14ac:dyDescent="0.2">
      <c r="A55" s="1" t="s">
        <v>110</v>
      </c>
      <c r="B55" s="1" t="s">
        <v>111</v>
      </c>
      <c r="C55" s="1" t="s">
        <v>132</v>
      </c>
      <c r="D55" s="1">
        <v>27</v>
      </c>
      <c r="E55" s="1">
        <v>370</v>
      </c>
      <c r="F55" s="1">
        <v>370</v>
      </c>
      <c r="G55" s="1" t="s">
        <v>2</v>
      </c>
      <c r="H55" s="4">
        <v>5.5853767112482497</v>
      </c>
      <c r="I55" s="4">
        <f t="shared" si="1"/>
        <v>11.170753422496499</v>
      </c>
      <c r="J55" s="1">
        <v>5.5853767112482497</v>
      </c>
      <c r="K55" s="1" t="s">
        <v>2</v>
      </c>
      <c r="L55" s="1" t="s">
        <v>3</v>
      </c>
    </row>
    <row r="56" spans="1:12" ht="48" x14ac:dyDescent="0.2">
      <c r="A56" s="1" t="s">
        <v>112</v>
      </c>
      <c r="B56" s="1" t="s">
        <v>113</v>
      </c>
      <c r="C56" s="1" t="s">
        <v>132</v>
      </c>
      <c r="D56" s="1">
        <v>28</v>
      </c>
      <c r="E56" s="1">
        <v>362</v>
      </c>
      <c r="F56" s="1">
        <v>362</v>
      </c>
      <c r="G56" s="1" t="s">
        <v>2</v>
      </c>
      <c r="H56" s="4">
        <v>4.7163195477530397</v>
      </c>
      <c r="I56" s="4">
        <f t="shared" si="1"/>
        <v>9.4326390955060795</v>
      </c>
      <c r="J56" s="1">
        <v>4.7163195477530397</v>
      </c>
      <c r="K56" s="1" t="s">
        <v>2</v>
      </c>
      <c r="L56" s="1" t="s">
        <v>6</v>
      </c>
    </row>
    <row r="57" spans="1:12" ht="48" x14ac:dyDescent="0.2">
      <c r="A57" s="1" t="s">
        <v>114</v>
      </c>
      <c r="B57" s="1" t="s">
        <v>115</v>
      </c>
      <c r="C57" s="1" t="s">
        <v>132</v>
      </c>
      <c r="D57" s="1">
        <v>29</v>
      </c>
      <c r="E57" s="1">
        <v>394</v>
      </c>
      <c r="F57" s="1">
        <v>394</v>
      </c>
      <c r="G57" s="1" t="s">
        <v>2</v>
      </c>
      <c r="H57" s="4">
        <v>8.07996747439765</v>
      </c>
      <c r="I57" s="4">
        <f t="shared" si="1"/>
        <v>16.1599349487953</v>
      </c>
      <c r="J57" s="1">
        <v>8.07996747439765</v>
      </c>
      <c r="K57" s="1" t="s">
        <v>2</v>
      </c>
      <c r="L57" s="1" t="s">
        <v>3</v>
      </c>
    </row>
    <row r="58" spans="1:12" ht="48" x14ac:dyDescent="0.2">
      <c r="A58" s="1" t="s">
        <v>116</v>
      </c>
      <c r="B58" s="1" t="s">
        <v>117</v>
      </c>
      <c r="C58" s="1" t="s">
        <v>132</v>
      </c>
      <c r="D58" s="1">
        <v>30</v>
      </c>
      <c r="E58" s="1">
        <v>385</v>
      </c>
      <c r="F58" s="1">
        <v>385</v>
      </c>
      <c r="G58" s="1" t="s">
        <v>2</v>
      </c>
      <c r="H58" s="4">
        <v>7.1611307703582403</v>
      </c>
      <c r="I58" s="4">
        <f t="shared" si="1"/>
        <v>14.322261540716481</v>
      </c>
      <c r="J58" s="1">
        <v>7.1611307703582403</v>
      </c>
      <c r="K58" s="1" t="s">
        <v>2</v>
      </c>
      <c r="L58" s="1" t="s">
        <v>3</v>
      </c>
    </row>
    <row r="59" spans="1:12" ht="48" x14ac:dyDescent="0.2">
      <c r="A59" s="1" t="s">
        <v>118</v>
      </c>
      <c r="B59" s="1" t="s">
        <v>119</v>
      </c>
      <c r="C59" s="1" t="s">
        <v>132</v>
      </c>
      <c r="D59" s="1">
        <v>31</v>
      </c>
      <c r="E59" s="1">
        <v>345</v>
      </c>
      <c r="F59" s="1">
        <v>345</v>
      </c>
      <c r="G59" s="1" t="s">
        <v>2</v>
      </c>
      <c r="H59" s="4">
        <v>2.7712380120512301</v>
      </c>
      <c r="I59" s="4">
        <f t="shared" si="1"/>
        <v>5.5424760241024602</v>
      </c>
      <c r="J59" s="1">
        <v>2.7712380120512301</v>
      </c>
      <c r="K59" s="1" t="s">
        <v>2</v>
      </c>
      <c r="L59" s="1" t="s">
        <v>6</v>
      </c>
    </row>
    <row r="60" spans="1:12" ht="48" x14ac:dyDescent="0.2">
      <c r="A60" s="1" t="s">
        <v>120</v>
      </c>
      <c r="B60" s="1" t="s">
        <v>121</v>
      </c>
      <c r="C60" s="1" t="s">
        <v>132</v>
      </c>
      <c r="D60" s="1">
        <v>32</v>
      </c>
      <c r="E60" s="1">
        <v>347</v>
      </c>
      <c r="F60" s="1">
        <v>347</v>
      </c>
      <c r="G60" s="1" t="s">
        <v>2</v>
      </c>
      <c r="H60" s="4">
        <v>3.0092842266630502</v>
      </c>
      <c r="I60" s="4">
        <f t="shared" si="1"/>
        <v>6.0185684533261004</v>
      </c>
      <c r="J60" s="1">
        <v>3.0092842266630502</v>
      </c>
      <c r="K60" s="1" t="s">
        <v>2</v>
      </c>
      <c r="L60" s="1" t="s">
        <v>6</v>
      </c>
    </row>
    <row r="61" spans="1:12" x14ac:dyDescent="0.2">
      <c r="H61"/>
      <c r="I61"/>
    </row>
    <row r="62" spans="1:12" x14ac:dyDescent="0.2">
      <c r="H62"/>
      <c r="I62"/>
    </row>
    <row r="63" spans="1:12" x14ac:dyDescent="0.2">
      <c r="H63"/>
      <c r="I63"/>
    </row>
    <row r="64" spans="1:12" x14ac:dyDescent="0.2">
      <c r="H64"/>
      <c r="I64"/>
    </row>
    <row r="65" spans="8:9" x14ac:dyDescent="0.2">
      <c r="H65"/>
      <c r="I65"/>
    </row>
    <row r="66" spans="8:9" x14ac:dyDescent="0.2">
      <c r="H66"/>
      <c r="I66"/>
    </row>
    <row r="67" spans="8:9" x14ac:dyDescent="0.2">
      <c r="H67"/>
      <c r="I67"/>
    </row>
    <row r="68" spans="8:9" x14ac:dyDescent="0.2">
      <c r="H68"/>
      <c r="I68"/>
    </row>
    <row r="69" spans="8:9" x14ac:dyDescent="0.2">
      <c r="H69"/>
      <c r="I69"/>
    </row>
    <row r="70" spans="8:9" x14ac:dyDescent="0.2">
      <c r="H70"/>
      <c r="I70"/>
    </row>
    <row r="71" spans="8:9" x14ac:dyDescent="0.2">
      <c r="H71"/>
      <c r="I71"/>
    </row>
    <row r="72" spans="8:9" x14ac:dyDescent="0.2">
      <c r="H72"/>
      <c r="I72"/>
    </row>
    <row r="73" spans="8:9" x14ac:dyDescent="0.2">
      <c r="H73"/>
      <c r="I73"/>
    </row>
    <row r="74" spans="8:9" x14ac:dyDescent="0.2">
      <c r="H74"/>
      <c r="I74"/>
    </row>
    <row r="75" spans="8:9" x14ac:dyDescent="0.2">
      <c r="H75"/>
      <c r="I75"/>
    </row>
    <row r="76" spans="8:9" x14ac:dyDescent="0.2">
      <c r="H76"/>
      <c r="I76"/>
    </row>
    <row r="77" spans="8:9" x14ac:dyDescent="0.2">
      <c r="H77"/>
      <c r="I77"/>
    </row>
    <row r="78" spans="8:9" x14ac:dyDescent="0.2">
      <c r="H78"/>
      <c r="I78"/>
    </row>
    <row r="79" spans="8:9" x14ac:dyDescent="0.2">
      <c r="H79"/>
      <c r="I79"/>
    </row>
    <row r="80" spans="8:9" x14ac:dyDescent="0.2">
      <c r="H80"/>
      <c r="I80"/>
    </row>
    <row r="81" spans="8:9" x14ac:dyDescent="0.2">
      <c r="H81"/>
      <c r="I8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81"/>
  <sheetViews>
    <sheetView workbookViewId="0">
      <selection activeCell="I2" sqref="I2:I60"/>
    </sheetView>
  </sheetViews>
  <sheetFormatPr baseColWidth="10" defaultColWidth="8.83203125" defaultRowHeight="15" x14ac:dyDescent="0.2"/>
  <cols>
    <col min="8" max="8" width="8.6640625" style="5"/>
    <col min="9" max="9" width="8.83203125" style="5"/>
  </cols>
  <sheetData>
    <row r="1" spans="1:12" s="2" customFormat="1" x14ac:dyDescent="0.2">
      <c r="A1" s="2" t="s">
        <v>122</v>
      </c>
      <c r="B1" s="2" t="s">
        <v>125</v>
      </c>
      <c r="C1" s="2" t="s">
        <v>133</v>
      </c>
      <c r="D1" s="2" t="s">
        <v>134</v>
      </c>
      <c r="E1" s="2" t="s">
        <v>126</v>
      </c>
      <c r="F1" s="2" t="s">
        <v>127</v>
      </c>
      <c r="G1" s="2" t="s">
        <v>123</v>
      </c>
      <c r="H1" s="3" t="s">
        <v>128</v>
      </c>
      <c r="I1" s="3" t="s">
        <v>135</v>
      </c>
      <c r="J1" s="2" t="s">
        <v>129</v>
      </c>
      <c r="K1" s="2" t="s">
        <v>130</v>
      </c>
      <c r="L1" s="2" t="s">
        <v>124</v>
      </c>
    </row>
    <row r="2" spans="1:12" ht="48" x14ac:dyDescent="0.2">
      <c r="A2" s="1" t="s">
        <v>0</v>
      </c>
      <c r="B2" s="1" t="s">
        <v>1</v>
      </c>
      <c r="C2" s="1" t="s">
        <v>131</v>
      </c>
      <c r="D2" s="1">
        <v>4</v>
      </c>
      <c r="E2" s="1">
        <v>770</v>
      </c>
      <c r="F2" s="1">
        <v>770</v>
      </c>
      <c r="G2" s="1" t="s">
        <v>2</v>
      </c>
      <c r="H2" s="4">
        <v>2.8032481185540701</v>
      </c>
      <c r="I2" s="4">
        <f>IF(H2="NaN",0,H2*2)</f>
        <v>5.6064962371081402</v>
      </c>
      <c r="J2" s="1">
        <v>2.8032481185540701</v>
      </c>
      <c r="K2" s="1" t="s">
        <v>2</v>
      </c>
      <c r="L2" s="1" t="s">
        <v>3</v>
      </c>
    </row>
    <row r="3" spans="1:12" ht="48" x14ac:dyDescent="0.2">
      <c r="A3" s="1" t="s">
        <v>4</v>
      </c>
      <c r="B3" s="1" t="s">
        <v>5</v>
      </c>
      <c r="C3" s="1" t="s">
        <v>131</v>
      </c>
      <c r="D3" s="1">
        <v>5</v>
      </c>
      <c r="E3" s="1">
        <v>794</v>
      </c>
      <c r="F3" s="1">
        <v>794</v>
      </c>
      <c r="G3" s="1" t="s">
        <v>2</v>
      </c>
      <c r="H3" s="4">
        <v>2.90157202759241</v>
      </c>
      <c r="I3" s="4">
        <f>IF(H3="NaN",0,H3*4)</f>
        <v>11.60628811036964</v>
      </c>
      <c r="J3" s="1">
        <v>2.90157202759241</v>
      </c>
      <c r="K3" s="1" t="s">
        <v>2</v>
      </c>
      <c r="L3" s="1" t="s">
        <v>3</v>
      </c>
    </row>
    <row r="4" spans="1:12" ht="48" x14ac:dyDescent="0.2">
      <c r="A4" s="1" t="s">
        <v>7</v>
      </c>
      <c r="B4" s="1" t="s">
        <v>8</v>
      </c>
      <c r="C4" s="1" t="s">
        <v>131</v>
      </c>
      <c r="D4" s="1">
        <v>6</v>
      </c>
      <c r="E4" s="1">
        <v>794</v>
      </c>
      <c r="F4" s="1">
        <v>794</v>
      </c>
      <c r="G4" s="1" t="s">
        <v>2</v>
      </c>
      <c r="H4" s="4">
        <v>2.90157202759241</v>
      </c>
      <c r="I4" s="4">
        <f>IF(H4="NaN",0,H4*4)</f>
        <v>11.60628811036964</v>
      </c>
      <c r="J4" s="1">
        <v>2.90157202759241</v>
      </c>
      <c r="K4" s="1" t="s">
        <v>2</v>
      </c>
      <c r="L4" s="1" t="s">
        <v>3</v>
      </c>
    </row>
    <row r="5" spans="1:12" ht="48" x14ac:dyDescent="0.2">
      <c r="A5" s="1" t="s">
        <v>9</v>
      </c>
      <c r="B5" s="1" t="s">
        <v>10</v>
      </c>
      <c r="C5" s="1" t="s">
        <v>131</v>
      </c>
      <c r="D5" s="1">
        <v>7</v>
      </c>
      <c r="E5" s="1">
        <v>837</v>
      </c>
      <c r="F5" s="1">
        <v>837</v>
      </c>
      <c r="G5" s="1" t="s">
        <v>2</v>
      </c>
      <c r="H5" s="4">
        <v>3.07795754371974</v>
      </c>
      <c r="I5" s="4">
        <f t="shared" ref="I5:I14" si="0">IF(H5="NaN",0,H5*4)</f>
        <v>12.31183017487896</v>
      </c>
      <c r="J5" s="1">
        <v>3.07795754371974</v>
      </c>
      <c r="K5" s="1" t="s">
        <v>2</v>
      </c>
      <c r="L5" s="1" t="s">
        <v>3</v>
      </c>
    </row>
    <row r="6" spans="1:12" ht="48" x14ac:dyDescent="0.2">
      <c r="A6" s="1" t="s">
        <v>11</v>
      </c>
      <c r="B6" s="1" t="s">
        <v>12</v>
      </c>
      <c r="C6" s="1" t="s">
        <v>131</v>
      </c>
      <c r="D6" s="1">
        <v>8</v>
      </c>
      <c r="E6" s="1">
        <v>961</v>
      </c>
      <c r="F6" s="1">
        <v>961</v>
      </c>
      <c r="G6" s="1" t="s">
        <v>2</v>
      </c>
      <c r="H6" s="4">
        <v>3.5880784755216202</v>
      </c>
      <c r="I6" s="4">
        <f t="shared" si="0"/>
        <v>14.352313902086481</v>
      </c>
      <c r="J6" s="1">
        <v>3.5880784755216202</v>
      </c>
      <c r="K6" s="1" t="s">
        <v>2</v>
      </c>
      <c r="L6" s="1" t="s">
        <v>3</v>
      </c>
    </row>
    <row r="7" spans="1:12" ht="48" x14ac:dyDescent="0.2">
      <c r="A7" s="1" t="s">
        <v>13</v>
      </c>
      <c r="B7" s="1" t="s">
        <v>14</v>
      </c>
      <c r="C7" s="1" t="s">
        <v>131</v>
      </c>
      <c r="D7" s="1">
        <v>9</v>
      </c>
      <c r="E7" s="1">
        <v>502</v>
      </c>
      <c r="F7" s="1">
        <v>502</v>
      </c>
      <c r="G7" s="1" t="s">
        <v>2</v>
      </c>
      <c r="H7" s="4">
        <v>1.71244112989298</v>
      </c>
      <c r="I7" s="4">
        <f t="shared" si="0"/>
        <v>6.8497645195719201</v>
      </c>
      <c r="J7" s="1">
        <v>1.71244112989298</v>
      </c>
      <c r="K7" s="1" t="s">
        <v>2</v>
      </c>
      <c r="L7" s="1" t="s">
        <v>3</v>
      </c>
    </row>
    <row r="8" spans="1:12" ht="48" x14ac:dyDescent="0.2">
      <c r="A8" s="1" t="s">
        <v>15</v>
      </c>
      <c r="B8" s="1" t="s">
        <v>16</v>
      </c>
      <c r="C8" s="1" t="s">
        <v>131</v>
      </c>
      <c r="D8" s="1">
        <v>10</v>
      </c>
      <c r="E8" s="1">
        <v>1651</v>
      </c>
      <c r="F8" s="1">
        <v>1651</v>
      </c>
      <c r="G8" s="1" t="s">
        <v>2</v>
      </c>
      <c r="H8" s="4">
        <v>6.4571707863842196</v>
      </c>
      <c r="I8" s="4">
        <f t="shared" si="0"/>
        <v>25.828683145536878</v>
      </c>
      <c r="J8" s="1">
        <v>6.4571707863842196</v>
      </c>
      <c r="K8" s="1" t="s">
        <v>2</v>
      </c>
      <c r="L8" s="1" t="s">
        <v>3</v>
      </c>
    </row>
    <row r="9" spans="1:12" ht="48" x14ac:dyDescent="0.2">
      <c r="A9" s="1" t="s">
        <v>17</v>
      </c>
      <c r="B9" s="1" t="s">
        <v>18</v>
      </c>
      <c r="C9" s="1" t="s">
        <v>131</v>
      </c>
      <c r="D9" s="1">
        <v>11</v>
      </c>
      <c r="E9" s="1">
        <v>162</v>
      </c>
      <c r="F9" s="1">
        <v>162</v>
      </c>
      <c r="G9" s="1" t="s">
        <v>2</v>
      </c>
      <c r="H9" s="4">
        <v>0.359725530010925</v>
      </c>
      <c r="I9" s="4">
        <f t="shared" si="0"/>
        <v>1.4389021200437</v>
      </c>
      <c r="J9" s="1">
        <v>0.359725530010925</v>
      </c>
      <c r="K9" s="1" t="s">
        <v>2</v>
      </c>
      <c r="L9" s="1" t="s">
        <v>6</v>
      </c>
    </row>
    <row r="10" spans="1:12" ht="48" x14ac:dyDescent="0.2">
      <c r="A10" s="1" t="s">
        <v>20</v>
      </c>
      <c r="B10" s="1" t="s">
        <v>21</v>
      </c>
      <c r="C10" s="1" t="s">
        <v>131</v>
      </c>
      <c r="D10" s="1">
        <v>12</v>
      </c>
      <c r="E10" s="1">
        <v>572</v>
      </c>
      <c r="F10" s="1">
        <v>572</v>
      </c>
      <c r="G10" s="1" t="s">
        <v>2</v>
      </c>
      <c r="H10" s="4">
        <v>1.9959264894637601</v>
      </c>
      <c r="I10" s="4">
        <f t="shared" si="0"/>
        <v>7.9837059578550402</v>
      </c>
      <c r="J10" s="1">
        <v>1.9959264894637601</v>
      </c>
      <c r="K10" s="1" t="s">
        <v>2</v>
      </c>
      <c r="L10" s="1" t="s">
        <v>3</v>
      </c>
    </row>
    <row r="11" spans="1:12" ht="48" x14ac:dyDescent="0.2">
      <c r="A11" s="1" t="s">
        <v>22</v>
      </c>
      <c r="B11" s="1" t="s">
        <v>23</v>
      </c>
      <c r="C11" s="1" t="s">
        <v>131</v>
      </c>
      <c r="D11" s="1">
        <v>13</v>
      </c>
      <c r="E11" s="1">
        <v>178</v>
      </c>
      <c r="F11" s="1">
        <v>178</v>
      </c>
      <c r="G11" s="1" t="s">
        <v>2</v>
      </c>
      <c r="H11" s="4">
        <v>0.421892460018858</v>
      </c>
      <c r="I11" s="4">
        <f t="shared" si="0"/>
        <v>1.687569840075432</v>
      </c>
      <c r="J11" s="1">
        <v>0.421892460018858</v>
      </c>
      <c r="K11" s="1" t="s">
        <v>2</v>
      </c>
      <c r="L11" s="1" t="s">
        <v>6</v>
      </c>
    </row>
    <row r="12" spans="1:12" ht="48" x14ac:dyDescent="0.2">
      <c r="A12" s="1" t="s">
        <v>24</v>
      </c>
      <c r="B12" s="1" t="s">
        <v>25</v>
      </c>
      <c r="C12" s="1" t="s">
        <v>131</v>
      </c>
      <c r="D12" s="1">
        <v>14</v>
      </c>
      <c r="E12" s="1">
        <v>1002</v>
      </c>
      <c r="F12" s="1">
        <v>1002</v>
      </c>
      <c r="G12" s="1" t="s">
        <v>2</v>
      </c>
      <c r="H12" s="4">
        <v>3.75719199882246</v>
      </c>
      <c r="I12" s="4">
        <f t="shared" si="0"/>
        <v>15.02876799528984</v>
      </c>
      <c r="J12" s="1">
        <v>3.75719199882246</v>
      </c>
      <c r="K12" s="1" t="s">
        <v>2</v>
      </c>
      <c r="L12" s="1" t="s">
        <v>3</v>
      </c>
    </row>
    <row r="13" spans="1:12" ht="48" x14ac:dyDescent="0.2">
      <c r="A13" s="1" t="s">
        <v>26</v>
      </c>
      <c r="B13" s="1" t="s">
        <v>27</v>
      </c>
      <c r="C13" s="1" t="s">
        <v>131</v>
      </c>
      <c r="D13" s="1">
        <v>15</v>
      </c>
      <c r="E13" s="1">
        <v>1268</v>
      </c>
      <c r="F13" s="1">
        <v>1268</v>
      </c>
      <c r="G13" s="1" t="s">
        <v>2</v>
      </c>
      <c r="H13" s="4">
        <v>4.8590123842919004</v>
      </c>
      <c r="I13" s="4">
        <f t="shared" si="0"/>
        <v>19.436049537167602</v>
      </c>
      <c r="J13" s="1">
        <v>4.8590123842919004</v>
      </c>
      <c r="K13" s="1" t="s">
        <v>2</v>
      </c>
      <c r="L13" s="1" t="s">
        <v>3</v>
      </c>
    </row>
    <row r="14" spans="1:12" ht="48" x14ac:dyDescent="0.2">
      <c r="A14" s="1" t="s">
        <v>28</v>
      </c>
      <c r="B14" s="1" t="s">
        <v>29</v>
      </c>
      <c r="C14" s="1" t="s">
        <v>131</v>
      </c>
      <c r="D14" s="1">
        <v>16</v>
      </c>
      <c r="E14" s="1">
        <v>368</v>
      </c>
      <c r="F14" s="1">
        <v>368</v>
      </c>
      <c r="G14" s="1" t="s">
        <v>2</v>
      </c>
      <c r="H14" s="4">
        <v>1.1734597933928299</v>
      </c>
      <c r="I14" s="4">
        <f t="shared" si="0"/>
        <v>4.6938391735713196</v>
      </c>
      <c r="J14" s="1">
        <v>1.1734597933928299</v>
      </c>
      <c r="K14" s="1" t="s">
        <v>2</v>
      </c>
      <c r="L14" s="1" t="s">
        <v>3</v>
      </c>
    </row>
    <row r="15" spans="1:12" ht="48" x14ac:dyDescent="0.2">
      <c r="A15" s="1" t="s">
        <v>30</v>
      </c>
      <c r="B15" s="1" t="s">
        <v>31</v>
      </c>
      <c r="C15" s="1" t="s">
        <v>131</v>
      </c>
      <c r="D15" s="1">
        <v>17</v>
      </c>
      <c r="E15" s="1">
        <v>291</v>
      </c>
      <c r="F15" s="1">
        <v>291</v>
      </c>
      <c r="G15" s="1" t="s">
        <v>2</v>
      </c>
      <c r="H15" s="4">
        <v>0.86657781564828595</v>
      </c>
      <c r="I15" s="4">
        <f t="shared" ref="I15:I60" si="1">IF(H15="NaN",0,H15*2)</f>
        <v>1.7331556312965719</v>
      </c>
      <c r="J15" s="1">
        <v>0.86657781564828595</v>
      </c>
      <c r="K15" s="1" t="s">
        <v>2</v>
      </c>
      <c r="L15" s="1" t="s">
        <v>3</v>
      </c>
    </row>
    <row r="16" spans="1:12" ht="48" x14ac:dyDescent="0.2">
      <c r="A16" s="1" t="s">
        <v>32</v>
      </c>
      <c r="B16" s="1" t="s">
        <v>33</v>
      </c>
      <c r="C16" s="1" t="s">
        <v>131</v>
      </c>
      <c r="D16" s="1">
        <v>18</v>
      </c>
      <c r="E16" s="1">
        <v>312</v>
      </c>
      <c r="F16" s="1">
        <v>312</v>
      </c>
      <c r="G16" s="1" t="s">
        <v>2</v>
      </c>
      <c r="H16" s="4">
        <v>0.95002276541680697</v>
      </c>
      <c r="I16" s="4">
        <f t="shared" si="1"/>
        <v>1.9000455308336139</v>
      </c>
      <c r="J16" s="1">
        <v>0.95002276541680697</v>
      </c>
      <c r="K16" s="1" t="s">
        <v>2</v>
      </c>
      <c r="L16" s="1" t="s">
        <v>3</v>
      </c>
    </row>
    <row r="17" spans="1:12" ht="48" x14ac:dyDescent="0.2">
      <c r="A17" s="1" t="s">
        <v>34</v>
      </c>
      <c r="B17" s="1" t="s">
        <v>35</v>
      </c>
      <c r="C17" s="1" t="s">
        <v>131</v>
      </c>
      <c r="D17" s="1">
        <v>19</v>
      </c>
      <c r="E17" s="1">
        <v>300</v>
      </c>
      <c r="F17" s="1">
        <v>300</v>
      </c>
      <c r="G17" s="1" t="s">
        <v>2</v>
      </c>
      <c r="H17" s="4">
        <v>0.902314901928568</v>
      </c>
      <c r="I17" s="4">
        <f t="shared" si="1"/>
        <v>1.804629803857136</v>
      </c>
      <c r="J17" s="1">
        <v>0.902314901928568</v>
      </c>
      <c r="K17" s="1" t="s">
        <v>2</v>
      </c>
      <c r="L17" s="1" t="s">
        <v>3</v>
      </c>
    </row>
    <row r="18" spans="1:12" ht="48" x14ac:dyDescent="0.2">
      <c r="A18" s="1" t="s">
        <v>36</v>
      </c>
      <c r="B18" s="1" t="s">
        <v>37</v>
      </c>
      <c r="C18" s="1" t="s">
        <v>131</v>
      </c>
      <c r="D18" s="1">
        <v>20</v>
      </c>
      <c r="E18" s="1">
        <v>400</v>
      </c>
      <c r="F18" s="1">
        <v>400</v>
      </c>
      <c r="G18" s="1" t="s">
        <v>2</v>
      </c>
      <c r="H18" s="4">
        <v>1.3016650732769499</v>
      </c>
      <c r="I18" s="4">
        <f t="shared" si="1"/>
        <v>2.6033301465538998</v>
      </c>
      <c r="J18" s="1">
        <v>1.3016650732769499</v>
      </c>
      <c r="K18" s="1" t="s">
        <v>2</v>
      </c>
      <c r="L18" s="1" t="s">
        <v>3</v>
      </c>
    </row>
    <row r="19" spans="1:12" ht="48" x14ac:dyDescent="0.2">
      <c r="A19" s="1" t="s">
        <v>38</v>
      </c>
      <c r="B19" s="1" t="s">
        <v>39</v>
      </c>
      <c r="C19" s="1" t="s">
        <v>131</v>
      </c>
      <c r="D19" s="1">
        <v>21</v>
      </c>
      <c r="E19" s="1">
        <v>291</v>
      </c>
      <c r="F19" s="1">
        <v>291</v>
      </c>
      <c r="G19" s="1" t="s">
        <v>2</v>
      </c>
      <c r="H19" s="4">
        <v>0.86657781564828595</v>
      </c>
      <c r="I19" s="4">
        <f t="shared" si="1"/>
        <v>1.7331556312965719</v>
      </c>
      <c r="J19" s="1">
        <v>0.86657781564828595</v>
      </c>
      <c r="K19" s="1" t="s">
        <v>2</v>
      </c>
      <c r="L19" s="1" t="s">
        <v>3</v>
      </c>
    </row>
    <row r="20" spans="1:12" ht="48" x14ac:dyDescent="0.2">
      <c r="A20" s="1" t="s">
        <v>40</v>
      </c>
      <c r="B20" s="1" t="s">
        <v>41</v>
      </c>
      <c r="C20" s="1" t="s">
        <v>131</v>
      </c>
      <c r="D20" s="1">
        <v>22</v>
      </c>
      <c r="E20" s="1">
        <v>197</v>
      </c>
      <c r="F20" s="1">
        <v>197</v>
      </c>
      <c r="G20" s="1" t="s">
        <v>2</v>
      </c>
      <c r="H20" s="4">
        <v>0.49603140256446998</v>
      </c>
      <c r="I20" s="4">
        <f t="shared" si="1"/>
        <v>0.99206280512893996</v>
      </c>
      <c r="J20" s="1">
        <v>0.49603140256446998</v>
      </c>
      <c r="K20" s="1" t="s">
        <v>2</v>
      </c>
      <c r="L20" s="1" t="s">
        <v>6</v>
      </c>
    </row>
    <row r="21" spans="1:12" ht="48" x14ac:dyDescent="0.2">
      <c r="A21" s="1" t="s">
        <v>42</v>
      </c>
      <c r="B21" s="1" t="s">
        <v>43</v>
      </c>
      <c r="C21" s="1" t="s">
        <v>131</v>
      </c>
      <c r="D21" s="1">
        <v>23</v>
      </c>
      <c r="E21" s="1">
        <v>238</v>
      </c>
      <c r="F21" s="1">
        <v>238</v>
      </c>
      <c r="G21" s="1" t="s">
        <v>2</v>
      </c>
      <c r="H21" s="4">
        <v>0.656977834493223</v>
      </c>
      <c r="I21" s="4">
        <f t="shared" si="1"/>
        <v>1.313955668986446</v>
      </c>
      <c r="J21" s="1">
        <v>0.656977834493223</v>
      </c>
      <c r="K21" s="1" t="s">
        <v>2</v>
      </c>
      <c r="L21" s="1" t="s">
        <v>3</v>
      </c>
    </row>
    <row r="22" spans="1:12" ht="48" x14ac:dyDescent="0.2">
      <c r="A22" s="1" t="s">
        <v>44</v>
      </c>
      <c r="B22" s="1" t="s">
        <v>45</v>
      </c>
      <c r="C22" s="1" t="s">
        <v>131</v>
      </c>
      <c r="D22" s="1">
        <v>24</v>
      </c>
      <c r="E22" s="1">
        <v>202</v>
      </c>
      <c r="F22" s="1">
        <v>202</v>
      </c>
      <c r="G22" s="1" t="s">
        <v>2</v>
      </c>
      <c r="H22" s="4">
        <v>0.51559262866655997</v>
      </c>
      <c r="I22" s="4">
        <f t="shared" si="1"/>
        <v>1.0311852573331199</v>
      </c>
      <c r="J22" s="1">
        <v>0.51559262866655997</v>
      </c>
      <c r="K22" s="1" t="s">
        <v>2</v>
      </c>
      <c r="L22" s="1" t="s">
        <v>6</v>
      </c>
    </row>
    <row r="23" spans="1:12" ht="48" x14ac:dyDescent="0.2">
      <c r="A23" s="1" t="s">
        <v>46</v>
      </c>
      <c r="B23" s="1" t="s">
        <v>47</v>
      </c>
      <c r="C23" s="1" t="s">
        <v>131</v>
      </c>
      <c r="D23" s="1">
        <v>25</v>
      </c>
      <c r="E23" s="1">
        <v>159</v>
      </c>
      <c r="F23" s="1">
        <v>159</v>
      </c>
      <c r="G23" s="1" t="s">
        <v>2</v>
      </c>
      <c r="H23" s="4">
        <v>0.348099557880516</v>
      </c>
      <c r="I23" s="4">
        <f>IF(H23="NaN",0,H23*2)</f>
        <v>0.69619911576103199</v>
      </c>
      <c r="J23" s="1">
        <v>0.348099557880516</v>
      </c>
      <c r="K23" s="1" t="s">
        <v>2</v>
      </c>
      <c r="L23" s="1" t="s">
        <v>6</v>
      </c>
    </row>
    <row r="24" spans="1:12" ht="48" x14ac:dyDescent="0.2">
      <c r="A24" s="1" t="s">
        <v>48</v>
      </c>
      <c r="B24" s="1" t="s">
        <v>49</v>
      </c>
      <c r="C24" s="1" t="s">
        <v>131</v>
      </c>
      <c r="D24" s="1">
        <v>26</v>
      </c>
      <c r="E24" s="1">
        <v>217</v>
      </c>
      <c r="F24" s="1">
        <v>217</v>
      </c>
      <c r="G24" s="1" t="s">
        <v>2</v>
      </c>
      <c r="H24" s="4">
        <v>0.57439204840045699</v>
      </c>
      <c r="I24" s="4">
        <f t="shared" si="1"/>
        <v>1.148784096800914</v>
      </c>
      <c r="J24" s="1">
        <v>0.57439204840045699</v>
      </c>
      <c r="K24" s="1" t="s">
        <v>2</v>
      </c>
      <c r="L24" s="1" t="s">
        <v>3</v>
      </c>
    </row>
    <row r="25" spans="1:12" ht="48" x14ac:dyDescent="0.2">
      <c r="A25" s="1" t="s">
        <v>50</v>
      </c>
      <c r="B25" s="1" t="s">
        <v>51</v>
      </c>
      <c r="C25" s="1" t="s">
        <v>131</v>
      </c>
      <c r="D25" s="1">
        <v>27</v>
      </c>
      <c r="E25" s="1">
        <v>210</v>
      </c>
      <c r="F25" s="1">
        <v>210</v>
      </c>
      <c r="G25" s="1" t="s">
        <v>2</v>
      </c>
      <c r="H25" s="4">
        <v>0.54693135925432601</v>
      </c>
      <c r="I25" s="4">
        <f t="shared" si="1"/>
        <v>1.093862718508652</v>
      </c>
      <c r="J25" s="1">
        <v>0.54693135925432601</v>
      </c>
      <c r="K25" s="1" t="s">
        <v>2</v>
      </c>
      <c r="L25" s="1" t="s">
        <v>6</v>
      </c>
    </row>
    <row r="26" spans="1:12" ht="48" x14ac:dyDescent="0.2">
      <c r="A26" s="1" t="s">
        <v>52</v>
      </c>
      <c r="B26" s="1" t="s">
        <v>53</v>
      </c>
      <c r="C26" s="1" t="s">
        <v>131</v>
      </c>
      <c r="D26" s="1">
        <v>28</v>
      </c>
      <c r="E26" s="1">
        <v>212</v>
      </c>
      <c r="F26" s="1">
        <v>212</v>
      </c>
      <c r="G26" s="1" t="s">
        <v>2</v>
      </c>
      <c r="H26" s="4">
        <v>0.55477361162618999</v>
      </c>
      <c r="I26" s="4">
        <f>IF(H26="NaN",0,H26*4)</f>
        <v>2.21909444650476</v>
      </c>
      <c r="J26" s="1">
        <v>0.55477361162618999</v>
      </c>
      <c r="K26" s="1" t="s">
        <v>2</v>
      </c>
      <c r="L26" s="1" t="s">
        <v>6</v>
      </c>
    </row>
    <row r="27" spans="1:12" ht="48" x14ac:dyDescent="0.2">
      <c r="A27" s="1" t="s">
        <v>54</v>
      </c>
      <c r="B27" s="1" t="s">
        <v>55</v>
      </c>
      <c r="C27" s="1" t="s">
        <v>131</v>
      </c>
      <c r="D27" s="1">
        <v>29</v>
      </c>
      <c r="E27" s="1">
        <v>253</v>
      </c>
      <c r="F27" s="1">
        <v>253</v>
      </c>
      <c r="G27" s="1" t="s">
        <v>2</v>
      </c>
      <c r="H27" s="4">
        <v>0.71613946254115601</v>
      </c>
      <c r="I27" s="4">
        <f t="shared" si="1"/>
        <v>1.432278925082312</v>
      </c>
      <c r="J27" s="1">
        <v>0.71613946254115601</v>
      </c>
      <c r="K27" s="1" t="s">
        <v>2</v>
      </c>
      <c r="L27" s="1" t="s">
        <v>3</v>
      </c>
    </row>
    <row r="28" spans="1:12" ht="48" x14ac:dyDescent="0.2">
      <c r="A28" s="1" t="s">
        <v>56</v>
      </c>
      <c r="B28" s="1" t="s">
        <v>57</v>
      </c>
      <c r="C28" s="1" t="s">
        <v>131</v>
      </c>
      <c r="D28" s="1">
        <v>30</v>
      </c>
      <c r="E28" s="1">
        <v>230</v>
      </c>
      <c r="F28" s="1">
        <v>230</v>
      </c>
      <c r="G28" s="1" t="s">
        <v>2</v>
      </c>
      <c r="H28" s="4">
        <v>0.625482017585271</v>
      </c>
      <c r="I28" s="4">
        <f t="shared" si="1"/>
        <v>1.250964035170542</v>
      </c>
      <c r="J28" s="1">
        <v>0.625482017585271</v>
      </c>
      <c r="K28" s="1" t="s">
        <v>2</v>
      </c>
      <c r="L28" s="1" t="s">
        <v>3</v>
      </c>
    </row>
    <row r="29" spans="1:12" ht="48" x14ac:dyDescent="0.2">
      <c r="A29" s="1" t="s">
        <v>58</v>
      </c>
      <c r="B29" s="1" t="s">
        <v>59</v>
      </c>
      <c r="C29" s="1" t="s">
        <v>131</v>
      </c>
      <c r="D29" s="1">
        <v>31</v>
      </c>
      <c r="E29" s="1">
        <v>260</v>
      </c>
      <c r="F29" s="1">
        <v>260</v>
      </c>
      <c r="G29" s="1" t="s">
        <v>2</v>
      </c>
      <c r="H29" s="4">
        <v>0.74379344296786498</v>
      </c>
      <c r="I29" s="4">
        <f t="shared" si="1"/>
        <v>1.48758688593573</v>
      </c>
      <c r="J29" s="1">
        <v>0.74379344296786498</v>
      </c>
      <c r="K29" s="1" t="s">
        <v>2</v>
      </c>
      <c r="L29" s="1" t="s">
        <v>3</v>
      </c>
    </row>
    <row r="30" spans="1:12" ht="48" x14ac:dyDescent="0.2">
      <c r="A30" s="1" t="s">
        <v>60</v>
      </c>
      <c r="B30" s="1" t="s">
        <v>61</v>
      </c>
      <c r="C30" s="1" t="s">
        <v>131</v>
      </c>
      <c r="D30" s="1">
        <v>32</v>
      </c>
      <c r="E30" s="1">
        <v>198</v>
      </c>
      <c r="F30" s="1">
        <v>198</v>
      </c>
      <c r="G30" s="1" t="s">
        <v>2</v>
      </c>
      <c r="H30" s="4">
        <v>0.49994203425309203</v>
      </c>
      <c r="I30" s="4">
        <f t="shared" si="1"/>
        <v>0.99988406850618405</v>
      </c>
      <c r="J30" s="1">
        <v>0.49994203425309203</v>
      </c>
      <c r="K30" s="1" t="s">
        <v>2</v>
      </c>
      <c r="L30" s="1" t="s">
        <v>6</v>
      </c>
    </row>
    <row r="31" spans="1:12" ht="48" x14ac:dyDescent="0.2">
      <c r="A31" s="1" t="s">
        <v>62</v>
      </c>
      <c r="B31" s="1" t="s">
        <v>63</v>
      </c>
      <c r="C31" s="1" t="s">
        <v>132</v>
      </c>
      <c r="D31" s="1">
        <v>3</v>
      </c>
      <c r="E31" s="1">
        <v>1921</v>
      </c>
      <c r="F31" s="1">
        <v>1921</v>
      </c>
      <c r="G31" s="1" t="s">
        <v>2</v>
      </c>
      <c r="H31" s="4">
        <v>7.5905155999745597</v>
      </c>
      <c r="I31" s="4">
        <f t="shared" si="1"/>
        <v>15.181031199949119</v>
      </c>
      <c r="J31" s="1">
        <v>7.5905155999745597</v>
      </c>
      <c r="K31" s="1" t="s">
        <v>2</v>
      </c>
      <c r="L31" s="1" t="s">
        <v>3</v>
      </c>
    </row>
    <row r="32" spans="1:12" ht="48" x14ac:dyDescent="0.2">
      <c r="A32" s="1" t="s">
        <v>64</v>
      </c>
      <c r="B32" s="1" t="s">
        <v>65</v>
      </c>
      <c r="C32" s="1" t="s">
        <v>132</v>
      </c>
      <c r="D32" s="1">
        <v>4</v>
      </c>
      <c r="E32" s="1">
        <v>324</v>
      </c>
      <c r="F32" s="1">
        <v>324</v>
      </c>
      <c r="G32" s="1" t="s">
        <v>2</v>
      </c>
      <c r="H32" s="4">
        <v>0.99779449059804004</v>
      </c>
      <c r="I32" s="4">
        <f t="shared" si="1"/>
        <v>1.9955889811960801</v>
      </c>
      <c r="J32" s="1">
        <v>0.99779449059804004</v>
      </c>
      <c r="K32" s="1" t="s">
        <v>2</v>
      </c>
      <c r="L32" s="1" t="s">
        <v>3</v>
      </c>
    </row>
    <row r="33" spans="1:12" ht="48" x14ac:dyDescent="0.2">
      <c r="A33" s="1" t="s">
        <v>66</v>
      </c>
      <c r="B33" s="1" t="s">
        <v>67</v>
      </c>
      <c r="C33" s="1" t="s">
        <v>132</v>
      </c>
      <c r="D33" s="1">
        <v>5</v>
      </c>
      <c r="E33" s="1">
        <v>462</v>
      </c>
      <c r="F33" s="1">
        <v>462</v>
      </c>
      <c r="G33" s="1" t="s">
        <v>2</v>
      </c>
      <c r="H33" s="4">
        <v>1.5509987110602901</v>
      </c>
      <c r="I33" s="4">
        <f t="shared" si="1"/>
        <v>3.1019974221205802</v>
      </c>
      <c r="J33" s="1">
        <v>1.5509987110602901</v>
      </c>
      <c r="K33" s="1" t="s">
        <v>2</v>
      </c>
      <c r="L33" s="1" t="s">
        <v>3</v>
      </c>
    </row>
    <row r="34" spans="1:12" ht="48" x14ac:dyDescent="0.2">
      <c r="A34" s="1" t="s">
        <v>68</v>
      </c>
      <c r="B34" s="1" t="s">
        <v>69</v>
      </c>
      <c r="C34" s="1" t="s">
        <v>132</v>
      </c>
      <c r="D34" s="1">
        <v>6</v>
      </c>
      <c r="E34" s="1">
        <v>354</v>
      </c>
      <c r="F34" s="1">
        <v>354</v>
      </c>
      <c r="G34" s="1" t="s">
        <v>2</v>
      </c>
      <c r="H34" s="4">
        <v>1.1174848570101601</v>
      </c>
      <c r="I34" s="4">
        <f t="shared" si="1"/>
        <v>2.2349697140203202</v>
      </c>
      <c r="J34" s="1">
        <v>1.1174848570101601</v>
      </c>
      <c r="K34" s="1" t="s">
        <v>2</v>
      </c>
      <c r="L34" s="1" t="s">
        <v>3</v>
      </c>
    </row>
    <row r="35" spans="1:12" ht="48" x14ac:dyDescent="0.2">
      <c r="A35" s="1" t="s">
        <v>70</v>
      </c>
      <c r="B35" s="1" t="s">
        <v>71</v>
      </c>
      <c r="C35" s="1" t="s">
        <v>132</v>
      </c>
      <c r="D35" s="1">
        <v>7</v>
      </c>
      <c r="E35" s="1">
        <v>556</v>
      </c>
      <c r="F35" s="1">
        <v>556</v>
      </c>
      <c r="G35" s="1" t="s">
        <v>2</v>
      </c>
      <c r="H35" s="4">
        <v>1.9310289926779101</v>
      </c>
      <c r="I35" s="4">
        <f t="shared" si="1"/>
        <v>3.8620579853558201</v>
      </c>
      <c r="J35" s="1">
        <v>1.9310289926779101</v>
      </c>
      <c r="K35" s="1" t="s">
        <v>2</v>
      </c>
      <c r="L35" s="1" t="s">
        <v>3</v>
      </c>
    </row>
    <row r="36" spans="1:12" ht="48" x14ac:dyDescent="0.2">
      <c r="A36" s="1" t="s">
        <v>72</v>
      </c>
      <c r="B36" s="1" t="s">
        <v>73</v>
      </c>
      <c r="C36" s="1" t="s">
        <v>132</v>
      </c>
      <c r="D36" s="1">
        <v>8</v>
      </c>
      <c r="E36" s="1">
        <v>721</v>
      </c>
      <c r="F36" s="1">
        <v>721</v>
      </c>
      <c r="G36" s="1" t="s">
        <v>2</v>
      </c>
      <c r="H36" s="4">
        <v>2.60279365777656</v>
      </c>
      <c r="I36" s="4">
        <f t="shared" si="1"/>
        <v>5.20558731555312</v>
      </c>
      <c r="J36" s="1">
        <v>2.60279365777656</v>
      </c>
      <c r="K36" s="1" t="s">
        <v>2</v>
      </c>
      <c r="L36" s="1" t="s">
        <v>3</v>
      </c>
    </row>
    <row r="37" spans="1:12" ht="48" x14ac:dyDescent="0.2">
      <c r="A37" s="1" t="s">
        <v>74</v>
      </c>
      <c r="B37" s="1" t="s">
        <v>75</v>
      </c>
      <c r="C37" s="1" t="s">
        <v>132</v>
      </c>
      <c r="D37" s="1">
        <v>9</v>
      </c>
      <c r="E37" s="1">
        <v>383</v>
      </c>
      <c r="F37" s="1">
        <v>383</v>
      </c>
      <c r="G37" s="1" t="s">
        <v>2</v>
      </c>
      <c r="H37" s="4">
        <v>1.2335118986400599</v>
      </c>
      <c r="I37" s="4">
        <f t="shared" si="1"/>
        <v>2.4670237972801199</v>
      </c>
      <c r="J37" s="1">
        <v>1.2335118986400599</v>
      </c>
      <c r="K37" s="1" t="s">
        <v>2</v>
      </c>
      <c r="L37" s="1" t="s">
        <v>3</v>
      </c>
    </row>
    <row r="38" spans="1:12" ht="48" x14ac:dyDescent="0.2">
      <c r="A38" s="1" t="s">
        <v>76</v>
      </c>
      <c r="B38" s="1" t="s">
        <v>77</v>
      </c>
      <c r="C38" s="1" t="s">
        <v>132</v>
      </c>
      <c r="D38" s="1">
        <v>10</v>
      </c>
      <c r="E38" s="1">
        <v>629</v>
      </c>
      <c r="F38" s="1">
        <v>629</v>
      </c>
      <c r="G38" s="1" t="s">
        <v>2</v>
      </c>
      <c r="H38" s="4">
        <v>2.2275711667629499</v>
      </c>
      <c r="I38" s="4">
        <f t="shared" si="1"/>
        <v>4.4551423335258997</v>
      </c>
      <c r="J38" s="1">
        <v>2.2275711667629499</v>
      </c>
      <c r="K38" s="1" t="s">
        <v>2</v>
      </c>
      <c r="L38" s="1" t="s">
        <v>3</v>
      </c>
    </row>
    <row r="39" spans="1:12" ht="48" x14ac:dyDescent="0.2">
      <c r="A39" s="1" t="s">
        <v>78</v>
      </c>
      <c r="B39" s="1" t="s">
        <v>79</v>
      </c>
      <c r="C39" s="1" t="s">
        <v>132</v>
      </c>
      <c r="D39" s="1">
        <v>11</v>
      </c>
      <c r="E39" s="1">
        <v>374</v>
      </c>
      <c r="F39" s="1">
        <v>374</v>
      </c>
      <c r="G39" s="1" t="s">
        <v>2</v>
      </c>
      <c r="H39" s="4">
        <v>1.1974710414676599</v>
      </c>
      <c r="I39" s="4">
        <f t="shared" si="1"/>
        <v>2.3949420829353198</v>
      </c>
      <c r="J39" s="1">
        <v>1.1974710414676599</v>
      </c>
      <c r="K39" s="1" t="s">
        <v>2</v>
      </c>
      <c r="L39" s="1" t="s">
        <v>3</v>
      </c>
    </row>
    <row r="40" spans="1:12" ht="48" x14ac:dyDescent="0.2">
      <c r="A40" s="1" t="s">
        <v>80</v>
      </c>
      <c r="B40" s="1" t="s">
        <v>81</v>
      </c>
      <c r="C40" s="1" t="s">
        <v>132</v>
      </c>
      <c r="D40" s="1">
        <v>12</v>
      </c>
      <c r="E40" s="1">
        <v>565</v>
      </c>
      <c r="F40" s="1">
        <v>565</v>
      </c>
      <c r="G40" s="1" t="s">
        <v>2</v>
      </c>
      <c r="H40" s="4">
        <v>1.96752678749298</v>
      </c>
      <c r="I40" s="4">
        <f t="shared" si="1"/>
        <v>3.9350535749859601</v>
      </c>
      <c r="J40" s="1">
        <v>1.96752678749298</v>
      </c>
      <c r="K40" s="1" t="s">
        <v>2</v>
      </c>
      <c r="L40" s="1" t="s">
        <v>3</v>
      </c>
    </row>
    <row r="41" spans="1:12" ht="48" x14ac:dyDescent="0.2">
      <c r="A41" s="1" t="s">
        <v>82</v>
      </c>
      <c r="B41" s="1" t="s">
        <v>83</v>
      </c>
      <c r="C41" s="1" t="s">
        <v>132</v>
      </c>
      <c r="D41" s="1">
        <v>13</v>
      </c>
      <c r="E41" s="1">
        <v>502</v>
      </c>
      <c r="F41" s="1">
        <v>502</v>
      </c>
      <c r="G41" s="1" t="s">
        <v>2</v>
      </c>
      <c r="H41" s="4">
        <v>1.71244112989298</v>
      </c>
      <c r="I41" s="4">
        <f t="shared" si="1"/>
        <v>3.4248822597859601</v>
      </c>
      <c r="J41" s="1">
        <v>1.71244112989298</v>
      </c>
      <c r="K41" s="1" t="s">
        <v>2</v>
      </c>
      <c r="L41" s="1" t="s">
        <v>3</v>
      </c>
    </row>
    <row r="42" spans="1:12" ht="48" x14ac:dyDescent="0.2">
      <c r="A42" s="1" t="s">
        <v>84</v>
      </c>
      <c r="B42" s="1" t="s">
        <v>85</v>
      </c>
      <c r="C42" s="1" t="s">
        <v>132</v>
      </c>
      <c r="D42" s="1">
        <v>14</v>
      </c>
      <c r="E42" s="1">
        <v>367</v>
      </c>
      <c r="F42" s="1">
        <v>367</v>
      </c>
      <c r="G42" s="1" t="s">
        <v>2</v>
      </c>
      <c r="H42" s="4">
        <v>1.1694591834769399</v>
      </c>
      <c r="I42" s="4">
        <f t="shared" si="1"/>
        <v>2.3389183669538798</v>
      </c>
      <c r="J42" s="1">
        <v>1.1694591834769399</v>
      </c>
      <c r="K42" s="1" t="s">
        <v>2</v>
      </c>
      <c r="L42" s="1" t="s">
        <v>3</v>
      </c>
    </row>
    <row r="43" spans="1:12" ht="48" x14ac:dyDescent="0.2">
      <c r="A43" s="1" t="s">
        <v>86</v>
      </c>
      <c r="B43" s="1" t="s">
        <v>87</v>
      </c>
      <c r="C43" s="1" t="s">
        <v>132</v>
      </c>
      <c r="D43" s="1">
        <v>15</v>
      </c>
      <c r="E43" s="1">
        <v>384</v>
      </c>
      <c r="F43" s="1">
        <v>384</v>
      </c>
      <c r="G43" s="1" t="s">
        <v>2</v>
      </c>
      <c r="H43" s="4">
        <v>1.23751818567604</v>
      </c>
      <c r="I43" s="4">
        <f t="shared" si="1"/>
        <v>2.47503637135208</v>
      </c>
      <c r="J43" s="1">
        <v>1.23751818567604</v>
      </c>
      <c r="K43" s="1" t="s">
        <v>2</v>
      </c>
      <c r="L43" s="1" t="s">
        <v>3</v>
      </c>
    </row>
    <row r="44" spans="1:12" ht="48" x14ac:dyDescent="0.2">
      <c r="A44" s="1" t="s">
        <v>88</v>
      </c>
      <c r="B44" s="1" t="s">
        <v>89</v>
      </c>
      <c r="C44" s="1" t="s">
        <v>132</v>
      </c>
      <c r="D44" s="1">
        <v>16</v>
      </c>
      <c r="E44" s="1">
        <v>405</v>
      </c>
      <c r="F44" s="1">
        <v>405</v>
      </c>
      <c r="G44" s="1" t="s">
        <v>2</v>
      </c>
      <c r="H44" s="4">
        <v>1.3217284628303401</v>
      </c>
      <c r="I44" s="4">
        <f t="shared" si="1"/>
        <v>2.6434569256606801</v>
      </c>
      <c r="J44" s="1">
        <v>1.3217284628303401</v>
      </c>
      <c r="K44" s="1" t="s">
        <v>2</v>
      </c>
      <c r="L44" s="1" t="s">
        <v>3</v>
      </c>
    </row>
    <row r="45" spans="1:12" ht="48" x14ac:dyDescent="0.2">
      <c r="A45" s="1" t="s">
        <v>90</v>
      </c>
      <c r="B45" s="1" t="s">
        <v>91</v>
      </c>
      <c r="C45" s="1" t="s">
        <v>132</v>
      </c>
      <c r="D45" s="1">
        <v>17</v>
      </c>
      <c r="E45" s="1">
        <v>774</v>
      </c>
      <c r="F45" s="1">
        <v>774</v>
      </c>
      <c r="G45" s="1" t="s">
        <v>2</v>
      </c>
      <c r="H45" s="4">
        <v>2.8196291039612702</v>
      </c>
      <c r="I45" s="4">
        <f t="shared" si="1"/>
        <v>5.6392582079225404</v>
      </c>
      <c r="J45" s="1">
        <v>2.8196291039612702</v>
      </c>
      <c r="K45" s="1" t="s">
        <v>2</v>
      </c>
      <c r="L45" s="1" t="s">
        <v>3</v>
      </c>
    </row>
    <row r="46" spans="1:12" ht="48" x14ac:dyDescent="0.2">
      <c r="A46" s="1" t="s">
        <v>92</v>
      </c>
      <c r="B46" s="1" t="s">
        <v>93</v>
      </c>
      <c r="C46" s="1" t="s">
        <v>132</v>
      </c>
      <c r="D46" s="1">
        <v>18</v>
      </c>
      <c r="E46" s="1">
        <v>469</v>
      </c>
      <c r="F46" s="1">
        <v>469</v>
      </c>
      <c r="G46" s="1" t="s">
        <v>2</v>
      </c>
      <c r="H46" s="4">
        <v>1.5792200409622399</v>
      </c>
      <c r="I46" s="4">
        <f t="shared" si="1"/>
        <v>3.1584400819244798</v>
      </c>
      <c r="J46" s="1">
        <v>1.5792200409622399</v>
      </c>
      <c r="K46" s="1" t="s">
        <v>2</v>
      </c>
      <c r="L46" s="1" t="s">
        <v>3</v>
      </c>
    </row>
    <row r="47" spans="1:12" ht="48" x14ac:dyDescent="0.2">
      <c r="A47" s="1" t="s">
        <v>94</v>
      </c>
      <c r="B47" s="1" t="s">
        <v>95</v>
      </c>
      <c r="C47" s="1" t="s">
        <v>132</v>
      </c>
      <c r="D47" s="1">
        <v>19</v>
      </c>
      <c r="E47" s="1">
        <v>531</v>
      </c>
      <c r="F47" s="1">
        <v>531</v>
      </c>
      <c r="G47" s="1" t="s">
        <v>2</v>
      </c>
      <c r="H47" s="4">
        <v>1.8297439150496499</v>
      </c>
      <c r="I47" s="4">
        <f t="shared" si="1"/>
        <v>3.6594878300992999</v>
      </c>
      <c r="J47" s="1">
        <v>1.8297439150496499</v>
      </c>
      <c r="K47" s="1" t="s">
        <v>2</v>
      </c>
      <c r="L47" s="1" t="s">
        <v>3</v>
      </c>
    </row>
    <row r="48" spans="1:12" ht="48" x14ac:dyDescent="0.2">
      <c r="A48" s="1" t="s">
        <v>96</v>
      </c>
      <c r="B48" s="1" t="s">
        <v>97</v>
      </c>
      <c r="C48" s="1" t="s">
        <v>132</v>
      </c>
      <c r="D48" s="1">
        <v>20</v>
      </c>
      <c r="E48" s="1">
        <v>569</v>
      </c>
      <c r="F48" s="1">
        <v>569</v>
      </c>
      <c r="G48" s="1" t="s">
        <v>2</v>
      </c>
      <c r="H48" s="4">
        <v>1.9837538575325799</v>
      </c>
      <c r="I48" s="4">
        <f t="shared" si="1"/>
        <v>3.9675077150651599</v>
      </c>
      <c r="J48" s="1">
        <v>1.9837538575325799</v>
      </c>
      <c r="K48" s="1" t="s">
        <v>2</v>
      </c>
      <c r="L48" s="1" t="s">
        <v>3</v>
      </c>
    </row>
    <row r="49" spans="1:12" ht="48" x14ac:dyDescent="0.2">
      <c r="A49" s="1" t="s">
        <v>98</v>
      </c>
      <c r="B49" s="1" t="s">
        <v>99</v>
      </c>
      <c r="C49" s="1" t="s">
        <v>132</v>
      </c>
      <c r="D49" s="1">
        <v>21</v>
      </c>
      <c r="E49" s="1">
        <v>710</v>
      </c>
      <c r="F49" s="1">
        <v>710</v>
      </c>
      <c r="G49" s="1" t="s">
        <v>2</v>
      </c>
      <c r="H49" s="4">
        <v>2.5578493740934598</v>
      </c>
      <c r="I49" s="4">
        <f t="shared" si="1"/>
        <v>5.1156987481869196</v>
      </c>
      <c r="J49" s="1">
        <v>2.5578493740934598</v>
      </c>
      <c r="K49" s="1" t="s">
        <v>2</v>
      </c>
      <c r="L49" s="1" t="s">
        <v>3</v>
      </c>
    </row>
    <row r="50" spans="1:12" ht="48" x14ac:dyDescent="0.2">
      <c r="A50" s="1" t="s">
        <v>100</v>
      </c>
      <c r="B50" s="1" t="s">
        <v>101</v>
      </c>
      <c r="C50" s="1" t="s">
        <v>132</v>
      </c>
      <c r="D50" s="1">
        <v>22</v>
      </c>
      <c r="E50" s="1">
        <v>299</v>
      </c>
      <c r="F50" s="1">
        <v>299</v>
      </c>
      <c r="G50" s="1" t="s">
        <v>2</v>
      </c>
      <c r="H50" s="4">
        <v>0.89834222673775599</v>
      </c>
      <c r="I50" s="4">
        <f t="shared" si="1"/>
        <v>1.796684453475512</v>
      </c>
      <c r="J50" s="1">
        <v>0.89834222673775599</v>
      </c>
      <c r="K50" s="1" t="s">
        <v>2</v>
      </c>
      <c r="L50" s="1" t="s">
        <v>3</v>
      </c>
    </row>
    <row r="51" spans="1:12" ht="48" x14ac:dyDescent="0.2">
      <c r="A51" s="1" t="s">
        <v>102</v>
      </c>
      <c r="B51" s="1" t="s">
        <v>103</v>
      </c>
      <c r="C51" s="1" t="s">
        <v>132</v>
      </c>
      <c r="D51" s="1">
        <v>23</v>
      </c>
      <c r="E51" s="1">
        <v>630</v>
      </c>
      <c r="F51" s="1">
        <v>630</v>
      </c>
      <c r="G51" s="1" t="s">
        <v>2</v>
      </c>
      <c r="H51" s="4">
        <v>2.23164106949219</v>
      </c>
      <c r="I51" s="4">
        <f t="shared" si="1"/>
        <v>4.46328213898438</v>
      </c>
      <c r="J51" s="1">
        <v>2.23164106949219</v>
      </c>
      <c r="K51" s="1" t="s">
        <v>2</v>
      </c>
      <c r="L51" s="1" t="s">
        <v>3</v>
      </c>
    </row>
    <row r="52" spans="1:12" ht="48" x14ac:dyDescent="0.2">
      <c r="A52" s="1" t="s">
        <v>104</v>
      </c>
      <c r="B52" s="1" t="s">
        <v>105</v>
      </c>
      <c r="C52" s="1" t="s">
        <v>132</v>
      </c>
      <c r="D52" s="1">
        <v>24</v>
      </c>
      <c r="E52" s="1">
        <v>303</v>
      </c>
      <c r="F52" s="1">
        <v>303</v>
      </c>
      <c r="G52" s="1" t="s">
        <v>2</v>
      </c>
      <c r="H52" s="4">
        <v>0.91423571215426302</v>
      </c>
      <c r="I52" s="4">
        <f t="shared" si="1"/>
        <v>1.828471424308526</v>
      </c>
      <c r="J52" s="1">
        <v>0.91423571215426302</v>
      </c>
      <c r="K52" s="1" t="s">
        <v>2</v>
      </c>
      <c r="L52" s="1" t="s">
        <v>3</v>
      </c>
    </row>
    <row r="53" spans="1:12" ht="48" x14ac:dyDescent="0.2">
      <c r="A53" s="1" t="s">
        <v>106</v>
      </c>
      <c r="B53" s="1" t="s">
        <v>107</v>
      </c>
      <c r="C53" s="1" t="s">
        <v>132</v>
      </c>
      <c r="D53" s="1">
        <v>25</v>
      </c>
      <c r="E53" s="1">
        <v>267</v>
      </c>
      <c r="F53" s="1">
        <v>267</v>
      </c>
      <c r="G53" s="1" t="s">
        <v>2</v>
      </c>
      <c r="H53" s="4">
        <v>0.77147479299824095</v>
      </c>
      <c r="I53" s="4">
        <f t="shared" si="1"/>
        <v>1.5429495859964819</v>
      </c>
      <c r="J53" s="1">
        <v>0.77147479299824095</v>
      </c>
      <c r="K53" s="1" t="s">
        <v>2</v>
      </c>
      <c r="L53" s="1" t="s">
        <v>3</v>
      </c>
    </row>
    <row r="54" spans="1:12" ht="48" x14ac:dyDescent="0.2">
      <c r="A54" s="1" t="s">
        <v>108</v>
      </c>
      <c r="B54" s="1" t="s">
        <v>109</v>
      </c>
      <c r="C54" s="1" t="s">
        <v>132</v>
      </c>
      <c r="D54" s="1">
        <v>26</v>
      </c>
      <c r="E54" s="1">
        <v>1411</v>
      </c>
      <c r="F54" s="1">
        <v>1411</v>
      </c>
      <c r="G54" s="1" t="s">
        <v>2</v>
      </c>
      <c r="H54" s="4">
        <v>5.4542620276771601</v>
      </c>
      <c r="I54" s="4">
        <f t="shared" si="1"/>
        <v>10.90852405535432</v>
      </c>
      <c r="J54" s="1">
        <v>5.4542620276771601</v>
      </c>
      <c r="K54" s="1" t="s">
        <v>2</v>
      </c>
      <c r="L54" s="1" t="s">
        <v>3</v>
      </c>
    </row>
    <row r="55" spans="1:12" ht="48" x14ac:dyDescent="0.2">
      <c r="A55" s="1" t="s">
        <v>110</v>
      </c>
      <c r="B55" s="1" t="s">
        <v>111</v>
      </c>
      <c r="C55" s="1" t="s">
        <v>132</v>
      </c>
      <c r="D55" s="1">
        <v>27</v>
      </c>
      <c r="E55" s="1">
        <v>350</v>
      </c>
      <c r="F55" s="1">
        <v>350</v>
      </c>
      <c r="G55" s="1" t="s">
        <v>2</v>
      </c>
      <c r="H55" s="4">
        <v>1.10150556287234</v>
      </c>
      <c r="I55" s="4">
        <f t="shared" si="1"/>
        <v>2.2030111257446801</v>
      </c>
      <c r="J55" s="1">
        <v>1.10150556287234</v>
      </c>
      <c r="K55" s="1" t="s">
        <v>2</v>
      </c>
      <c r="L55" s="1" t="s">
        <v>3</v>
      </c>
    </row>
    <row r="56" spans="1:12" ht="48" x14ac:dyDescent="0.2">
      <c r="A56" s="1" t="s">
        <v>112</v>
      </c>
      <c r="B56" s="1" t="s">
        <v>113</v>
      </c>
      <c r="C56" s="1" t="s">
        <v>132</v>
      </c>
      <c r="D56" s="1">
        <v>28</v>
      </c>
      <c r="E56" s="1">
        <v>322</v>
      </c>
      <c r="F56" s="1">
        <v>322</v>
      </c>
      <c r="G56" s="1" t="s">
        <v>2</v>
      </c>
      <c r="H56" s="4">
        <v>0.98982822750685096</v>
      </c>
      <c r="I56" s="4">
        <f t="shared" si="1"/>
        <v>1.9796564550137019</v>
      </c>
      <c r="J56" s="1">
        <v>0.98982822750685096</v>
      </c>
      <c r="K56" s="1" t="s">
        <v>2</v>
      </c>
      <c r="L56" s="1" t="s">
        <v>3</v>
      </c>
    </row>
    <row r="57" spans="1:12" ht="48" x14ac:dyDescent="0.2">
      <c r="A57" s="1" t="s">
        <v>114</v>
      </c>
      <c r="B57" s="1" t="s">
        <v>115</v>
      </c>
      <c r="C57" s="1" t="s">
        <v>132</v>
      </c>
      <c r="D57" s="1">
        <v>29</v>
      </c>
      <c r="E57" s="1">
        <v>315</v>
      </c>
      <c r="F57" s="1">
        <v>315</v>
      </c>
      <c r="G57" s="1" t="s">
        <v>2</v>
      </c>
      <c r="H57" s="4">
        <v>0.96195982721836404</v>
      </c>
      <c r="I57" s="4">
        <f t="shared" si="1"/>
        <v>1.9239196544367281</v>
      </c>
      <c r="J57" s="1">
        <v>0.96195982721836404</v>
      </c>
      <c r="K57" s="1" t="s">
        <v>2</v>
      </c>
      <c r="L57" s="1" t="s">
        <v>3</v>
      </c>
    </row>
    <row r="58" spans="1:12" ht="48" x14ac:dyDescent="0.2">
      <c r="A58" s="1" t="s">
        <v>116</v>
      </c>
      <c r="B58" s="1" t="s">
        <v>117</v>
      </c>
      <c r="C58" s="1" t="s">
        <v>132</v>
      </c>
      <c r="D58" s="1">
        <v>30</v>
      </c>
      <c r="E58" s="1">
        <v>720</v>
      </c>
      <c r="F58" s="1">
        <v>720</v>
      </c>
      <c r="G58" s="1" t="s">
        <v>2</v>
      </c>
      <c r="H58" s="4">
        <v>2.5987069494139701</v>
      </c>
      <c r="I58" s="4">
        <f t="shared" si="1"/>
        <v>5.1974138988279401</v>
      </c>
      <c r="J58" s="1">
        <v>2.5987069494139701</v>
      </c>
      <c r="K58" s="1" t="s">
        <v>2</v>
      </c>
      <c r="L58" s="1" t="s">
        <v>3</v>
      </c>
    </row>
    <row r="59" spans="1:12" ht="48" x14ac:dyDescent="0.2">
      <c r="A59" s="1" t="s">
        <v>118</v>
      </c>
      <c r="B59" s="1" t="s">
        <v>119</v>
      </c>
      <c r="C59" s="1" t="s">
        <v>132</v>
      </c>
      <c r="D59" s="1">
        <v>31</v>
      </c>
      <c r="E59" s="1">
        <v>2218</v>
      </c>
      <c r="F59" s="1">
        <v>2218</v>
      </c>
      <c r="G59" s="1" t="s">
        <v>2</v>
      </c>
      <c r="H59" s="4">
        <v>8.8425463363515995</v>
      </c>
      <c r="I59" s="4">
        <f t="shared" si="1"/>
        <v>17.685092672703199</v>
      </c>
      <c r="J59" s="1">
        <v>8.8425463363515995</v>
      </c>
      <c r="K59" s="1" t="s">
        <v>2</v>
      </c>
      <c r="L59" s="1" t="s">
        <v>3</v>
      </c>
    </row>
    <row r="60" spans="1:12" ht="48" x14ac:dyDescent="0.2">
      <c r="A60" s="1" t="s">
        <v>120</v>
      </c>
      <c r="B60" s="1" t="s">
        <v>121</v>
      </c>
      <c r="C60" s="1" t="s">
        <v>132</v>
      </c>
      <c r="D60" s="1">
        <v>32</v>
      </c>
      <c r="E60" s="1">
        <v>452</v>
      </c>
      <c r="F60" s="1">
        <v>452</v>
      </c>
      <c r="G60" s="1" t="s">
        <v>2</v>
      </c>
      <c r="H60" s="4">
        <v>1.51070633350406</v>
      </c>
      <c r="I60" s="4">
        <f t="shared" si="1"/>
        <v>3.0214126670081201</v>
      </c>
      <c r="J60" s="1">
        <v>1.51070633350406</v>
      </c>
      <c r="K60" s="1" t="s">
        <v>2</v>
      </c>
      <c r="L60" s="1" t="s">
        <v>3</v>
      </c>
    </row>
    <row r="61" spans="1:12" x14ac:dyDescent="0.2">
      <c r="H61"/>
      <c r="I61"/>
    </row>
    <row r="62" spans="1:12" x14ac:dyDescent="0.2">
      <c r="H62"/>
      <c r="I62"/>
    </row>
    <row r="63" spans="1:12" x14ac:dyDescent="0.2">
      <c r="H63"/>
      <c r="I63"/>
    </row>
    <row r="64" spans="1:12" x14ac:dyDescent="0.2">
      <c r="H64"/>
      <c r="I64"/>
    </row>
    <row r="65" spans="8:9" x14ac:dyDescent="0.2">
      <c r="H65"/>
      <c r="I65"/>
    </row>
    <row r="66" spans="8:9" x14ac:dyDescent="0.2">
      <c r="H66"/>
      <c r="I66"/>
    </row>
    <row r="67" spans="8:9" x14ac:dyDescent="0.2">
      <c r="H67"/>
      <c r="I67"/>
    </row>
    <row r="68" spans="8:9" x14ac:dyDescent="0.2">
      <c r="H68"/>
      <c r="I68"/>
    </row>
    <row r="69" spans="8:9" x14ac:dyDescent="0.2">
      <c r="H69"/>
      <c r="I69"/>
    </row>
    <row r="70" spans="8:9" x14ac:dyDescent="0.2">
      <c r="H70"/>
      <c r="I70"/>
    </row>
    <row r="71" spans="8:9" x14ac:dyDescent="0.2">
      <c r="H71"/>
      <c r="I71"/>
    </row>
    <row r="72" spans="8:9" x14ac:dyDescent="0.2">
      <c r="H72"/>
      <c r="I72"/>
    </row>
    <row r="73" spans="8:9" x14ac:dyDescent="0.2">
      <c r="H73"/>
      <c r="I73"/>
    </row>
    <row r="74" spans="8:9" x14ac:dyDescent="0.2">
      <c r="H74"/>
      <c r="I74"/>
    </row>
    <row r="75" spans="8:9" x14ac:dyDescent="0.2">
      <c r="H75"/>
      <c r="I75"/>
    </row>
    <row r="76" spans="8:9" x14ac:dyDescent="0.2">
      <c r="H76"/>
      <c r="I76"/>
    </row>
    <row r="77" spans="8:9" x14ac:dyDescent="0.2">
      <c r="H77"/>
      <c r="I77"/>
    </row>
    <row r="78" spans="8:9" x14ac:dyDescent="0.2">
      <c r="H78"/>
      <c r="I78"/>
    </row>
    <row r="79" spans="8:9" x14ac:dyDescent="0.2">
      <c r="H79"/>
      <c r="I79"/>
    </row>
    <row r="80" spans="8:9" x14ac:dyDescent="0.2">
      <c r="H80"/>
      <c r="I80"/>
    </row>
    <row r="81" spans="8:9" x14ac:dyDescent="0.2">
      <c r="H81"/>
      <c r="I8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81"/>
  <sheetViews>
    <sheetView workbookViewId="0">
      <selection activeCell="I23" sqref="I23"/>
    </sheetView>
  </sheetViews>
  <sheetFormatPr baseColWidth="10" defaultColWidth="8.83203125" defaultRowHeight="15" x14ac:dyDescent="0.2"/>
  <cols>
    <col min="8" max="8" width="8.6640625" style="5"/>
    <col min="9" max="9" width="8.83203125" style="5"/>
  </cols>
  <sheetData>
    <row r="1" spans="1:12" s="2" customFormat="1" x14ac:dyDescent="0.2">
      <c r="A1" s="2" t="s">
        <v>122</v>
      </c>
      <c r="B1" s="2" t="s">
        <v>125</v>
      </c>
      <c r="C1" s="2" t="s">
        <v>133</v>
      </c>
      <c r="D1" s="2" t="s">
        <v>134</v>
      </c>
      <c r="E1" s="2" t="s">
        <v>126</v>
      </c>
      <c r="F1" s="2" t="s">
        <v>127</v>
      </c>
      <c r="G1" s="2" t="s">
        <v>123</v>
      </c>
      <c r="H1" s="3" t="s">
        <v>128</v>
      </c>
      <c r="I1" s="3" t="s">
        <v>135</v>
      </c>
      <c r="J1" s="2" t="s">
        <v>129</v>
      </c>
      <c r="K1" s="2" t="s">
        <v>130</v>
      </c>
      <c r="L1" s="2" t="s">
        <v>124</v>
      </c>
    </row>
    <row r="2" spans="1:12" ht="48" x14ac:dyDescent="0.2">
      <c r="A2" s="1" t="s">
        <v>0</v>
      </c>
      <c r="B2" s="1" t="s">
        <v>1</v>
      </c>
      <c r="C2" s="1" t="s">
        <v>131</v>
      </c>
      <c r="D2" s="1">
        <v>4</v>
      </c>
      <c r="E2" s="1">
        <v>662</v>
      </c>
      <c r="F2" s="1">
        <v>662</v>
      </c>
      <c r="G2" s="1" t="s">
        <v>2</v>
      </c>
      <c r="H2" s="4">
        <v>3.12755290846391</v>
      </c>
      <c r="I2" s="4">
        <f>IF(H2="NaN",0,H2*2)</f>
        <v>6.25510581692782</v>
      </c>
      <c r="J2" s="1">
        <v>3.12755290846391</v>
      </c>
      <c r="K2" s="1" t="s">
        <v>2</v>
      </c>
      <c r="L2" s="1" t="s">
        <v>3</v>
      </c>
    </row>
    <row r="3" spans="1:12" ht="48" x14ac:dyDescent="0.2">
      <c r="A3" s="1" t="s">
        <v>4</v>
      </c>
      <c r="B3" s="1" t="s">
        <v>5</v>
      </c>
      <c r="C3" s="1" t="s">
        <v>131</v>
      </c>
      <c r="D3" s="1">
        <v>5</v>
      </c>
      <c r="E3" s="1">
        <v>481</v>
      </c>
      <c r="F3" s="1">
        <v>481</v>
      </c>
      <c r="G3" s="1" t="s">
        <v>2</v>
      </c>
      <c r="H3" s="4">
        <v>2.05286964236576</v>
      </c>
      <c r="I3" s="4">
        <f>IF(H3="NaN",0,H3*4)</f>
        <v>8.2114785694630399</v>
      </c>
      <c r="J3" s="1">
        <v>2.05286964236576</v>
      </c>
      <c r="K3" s="1" t="s">
        <v>2</v>
      </c>
      <c r="L3" s="1" t="s">
        <v>3</v>
      </c>
    </row>
    <row r="4" spans="1:12" ht="48" x14ac:dyDescent="0.2">
      <c r="A4" s="1" t="s">
        <v>7</v>
      </c>
      <c r="B4" s="1" t="s">
        <v>8</v>
      </c>
      <c r="C4" s="1" t="s">
        <v>131</v>
      </c>
      <c r="D4" s="1">
        <v>6</v>
      </c>
      <c r="E4" s="1">
        <v>320</v>
      </c>
      <c r="F4" s="1">
        <v>320</v>
      </c>
      <c r="G4" s="1" t="s">
        <v>2</v>
      </c>
      <c r="H4" s="4">
        <v>1.0705188780022901</v>
      </c>
      <c r="I4" s="4">
        <f>IF(H4="NaN",0,H4*4)</f>
        <v>4.2820755120091603</v>
      </c>
      <c r="J4" s="1">
        <v>1.0705188780022901</v>
      </c>
      <c r="K4" s="1" t="s">
        <v>2</v>
      </c>
      <c r="L4" s="1" t="s">
        <v>6</v>
      </c>
    </row>
    <row r="5" spans="1:12" ht="48" x14ac:dyDescent="0.2">
      <c r="A5" s="1" t="s">
        <v>9</v>
      </c>
      <c r="B5" s="1" t="s">
        <v>10</v>
      </c>
      <c r="C5" s="1" t="s">
        <v>131</v>
      </c>
      <c r="D5" s="1">
        <v>7</v>
      </c>
      <c r="E5" s="1">
        <v>342</v>
      </c>
      <c r="F5" s="1">
        <v>342</v>
      </c>
      <c r="G5" s="1" t="s">
        <v>2</v>
      </c>
      <c r="H5" s="4">
        <v>1.2069036209699699</v>
      </c>
      <c r="I5" s="4">
        <f t="shared" ref="I5:I14" si="0">IF(H5="NaN",0,H5*4)</f>
        <v>4.8276144838798798</v>
      </c>
      <c r="J5" s="1">
        <v>1.2069036209699699</v>
      </c>
      <c r="K5" s="1" t="s">
        <v>2</v>
      </c>
      <c r="L5" s="1" t="s">
        <v>6</v>
      </c>
    </row>
    <row r="6" spans="1:12" ht="48" x14ac:dyDescent="0.2">
      <c r="A6" s="1" t="s">
        <v>11</v>
      </c>
      <c r="B6" s="1" t="s">
        <v>12</v>
      </c>
      <c r="C6" s="1" t="s">
        <v>131</v>
      </c>
      <c r="D6" s="1">
        <v>8</v>
      </c>
      <c r="E6" s="1">
        <v>284</v>
      </c>
      <c r="F6" s="1">
        <v>284</v>
      </c>
      <c r="G6" s="1" t="s">
        <v>2</v>
      </c>
      <c r="H6" s="4">
        <v>0.84527308777468801</v>
      </c>
      <c r="I6" s="4">
        <f t="shared" si="0"/>
        <v>3.3810923510987521</v>
      </c>
      <c r="J6" s="1">
        <v>0.84527308777468801</v>
      </c>
      <c r="K6" s="1" t="s">
        <v>2</v>
      </c>
      <c r="L6" s="1" t="s">
        <v>6</v>
      </c>
    </row>
    <row r="7" spans="1:12" ht="48" x14ac:dyDescent="0.2">
      <c r="A7" s="1" t="s">
        <v>13</v>
      </c>
      <c r="B7" s="1" t="s">
        <v>14</v>
      </c>
      <c r="C7" s="1" t="s">
        <v>131</v>
      </c>
      <c r="D7" s="1">
        <v>9</v>
      </c>
      <c r="E7" s="1">
        <v>417</v>
      </c>
      <c r="F7" s="1">
        <v>417</v>
      </c>
      <c r="G7" s="1" t="s">
        <v>2</v>
      </c>
      <c r="H7" s="4">
        <v>1.66625471100788</v>
      </c>
      <c r="I7" s="4">
        <f t="shared" si="0"/>
        <v>6.6650188440315201</v>
      </c>
      <c r="J7" s="1">
        <v>1.66625471100788</v>
      </c>
      <c r="K7" s="1" t="s">
        <v>2</v>
      </c>
      <c r="L7" s="1" t="s">
        <v>3</v>
      </c>
    </row>
    <row r="8" spans="1:12" ht="48" x14ac:dyDescent="0.2">
      <c r="A8" s="1" t="s">
        <v>15</v>
      </c>
      <c r="B8" s="1" t="s">
        <v>16</v>
      </c>
      <c r="C8" s="1" t="s">
        <v>131</v>
      </c>
      <c r="D8" s="1">
        <v>10</v>
      </c>
      <c r="E8" s="1">
        <v>376</v>
      </c>
      <c r="F8" s="1">
        <v>376</v>
      </c>
      <c r="G8" s="1" t="s">
        <v>2</v>
      </c>
      <c r="H8" s="4">
        <v>1.4161150161856699</v>
      </c>
      <c r="I8" s="4">
        <f t="shared" si="0"/>
        <v>5.6644600647426797</v>
      </c>
      <c r="J8" s="1">
        <v>1.4161150161856699</v>
      </c>
      <c r="K8" s="1" t="s">
        <v>2</v>
      </c>
      <c r="L8" s="1" t="s">
        <v>3</v>
      </c>
    </row>
    <row r="9" spans="1:12" ht="48" x14ac:dyDescent="0.2">
      <c r="A9" s="1" t="s">
        <v>17</v>
      </c>
      <c r="B9" s="1" t="s">
        <v>18</v>
      </c>
      <c r="C9" s="1" t="s">
        <v>131</v>
      </c>
      <c r="D9" s="1">
        <v>11</v>
      </c>
      <c r="E9" s="1">
        <v>209</v>
      </c>
      <c r="F9" s="1">
        <v>209</v>
      </c>
      <c r="G9" s="1" t="s">
        <v>2</v>
      </c>
      <c r="H9" s="4">
        <v>0.36382855748211301</v>
      </c>
      <c r="I9" s="4">
        <f t="shared" si="0"/>
        <v>1.4553142299284521</v>
      </c>
      <c r="J9" s="1">
        <v>0.36382855748211301</v>
      </c>
      <c r="K9" s="1" t="s">
        <v>2</v>
      </c>
      <c r="L9" s="1" t="s">
        <v>6</v>
      </c>
    </row>
    <row r="10" spans="1:12" ht="48" x14ac:dyDescent="0.2">
      <c r="A10" s="1" t="s">
        <v>20</v>
      </c>
      <c r="B10" s="1" t="s">
        <v>21</v>
      </c>
      <c r="C10" s="1" t="s">
        <v>131</v>
      </c>
      <c r="D10" s="1">
        <v>12</v>
      </c>
      <c r="E10" s="1">
        <v>239</v>
      </c>
      <c r="F10" s="1">
        <v>239</v>
      </c>
      <c r="G10" s="1" t="s">
        <v>2</v>
      </c>
      <c r="H10" s="4">
        <v>0.55898217882828105</v>
      </c>
      <c r="I10" s="4">
        <f t="shared" si="0"/>
        <v>2.2359287153131242</v>
      </c>
      <c r="J10" s="1">
        <v>0.55898217882828105</v>
      </c>
      <c r="K10" s="1" t="s">
        <v>2</v>
      </c>
      <c r="L10" s="1" t="s">
        <v>6</v>
      </c>
    </row>
    <row r="11" spans="1:12" ht="48" x14ac:dyDescent="0.2">
      <c r="A11" s="1" t="s">
        <v>22</v>
      </c>
      <c r="B11" s="1" t="s">
        <v>23</v>
      </c>
      <c r="C11" s="1" t="s">
        <v>131</v>
      </c>
      <c r="D11" s="1">
        <v>13</v>
      </c>
      <c r="E11" s="1">
        <v>227</v>
      </c>
      <c r="F11" s="1">
        <v>227</v>
      </c>
      <c r="G11" s="1" t="s">
        <v>2</v>
      </c>
      <c r="H11" s="4">
        <v>0.481440437422675</v>
      </c>
      <c r="I11" s="4">
        <f t="shared" si="0"/>
        <v>1.9257617496907</v>
      </c>
      <c r="J11" s="1">
        <v>0.481440437422675</v>
      </c>
      <c r="K11" s="1" t="s">
        <v>2</v>
      </c>
      <c r="L11" s="1" t="s">
        <v>6</v>
      </c>
    </row>
    <row r="12" spans="1:12" ht="48" x14ac:dyDescent="0.2">
      <c r="A12" s="1" t="s">
        <v>24</v>
      </c>
      <c r="B12" s="1" t="s">
        <v>25</v>
      </c>
      <c r="C12" s="1" t="s">
        <v>131</v>
      </c>
      <c r="D12" s="1">
        <v>14</v>
      </c>
      <c r="E12" s="1">
        <v>327</v>
      </c>
      <c r="F12" s="1">
        <v>327</v>
      </c>
      <c r="G12" s="1" t="s">
        <v>2</v>
      </c>
      <c r="H12" s="4">
        <v>1.1140085974487399</v>
      </c>
      <c r="I12" s="4">
        <f t="shared" si="0"/>
        <v>4.4560343897949597</v>
      </c>
      <c r="J12" s="1">
        <v>1.1140085974487399</v>
      </c>
      <c r="K12" s="1" t="s">
        <v>2</v>
      </c>
      <c r="L12" s="1" t="s">
        <v>6</v>
      </c>
    </row>
    <row r="13" spans="1:12" ht="48" x14ac:dyDescent="0.2">
      <c r="A13" s="1" t="s">
        <v>26</v>
      </c>
      <c r="B13" s="1" t="s">
        <v>27</v>
      </c>
      <c r="C13" s="1" t="s">
        <v>131</v>
      </c>
      <c r="D13" s="1">
        <v>15</v>
      </c>
      <c r="E13" s="1">
        <v>315</v>
      </c>
      <c r="F13" s="1">
        <v>315</v>
      </c>
      <c r="G13" s="1" t="s">
        <v>2</v>
      </c>
      <c r="H13" s="4">
        <v>1.03939766302797</v>
      </c>
      <c r="I13" s="4">
        <f t="shared" si="0"/>
        <v>4.1575906521118799</v>
      </c>
      <c r="J13" s="1">
        <v>1.03939766302797</v>
      </c>
      <c r="K13" s="1" t="s">
        <v>2</v>
      </c>
      <c r="L13" s="1" t="s">
        <v>6</v>
      </c>
    </row>
    <row r="14" spans="1:12" ht="48" x14ac:dyDescent="0.2">
      <c r="A14" s="1" t="s">
        <v>28</v>
      </c>
      <c r="B14" s="1" t="s">
        <v>29</v>
      </c>
      <c r="C14" s="1" t="s">
        <v>131</v>
      </c>
      <c r="D14" s="1">
        <v>16</v>
      </c>
      <c r="E14" s="1">
        <v>314</v>
      </c>
      <c r="F14" s="1">
        <v>314</v>
      </c>
      <c r="G14" s="1" t="s">
        <v>2</v>
      </c>
      <c r="H14" s="4">
        <v>1.03316754532994</v>
      </c>
      <c r="I14" s="4">
        <f t="shared" si="0"/>
        <v>4.1326701813197602</v>
      </c>
      <c r="J14" s="1">
        <v>1.03316754532994</v>
      </c>
      <c r="K14" s="1" t="s">
        <v>2</v>
      </c>
      <c r="L14" s="1" t="s">
        <v>6</v>
      </c>
    </row>
    <row r="15" spans="1:12" ht="48" x14ac:dyDescent="0.2">
      <c r="A15" s="1" t="s">
        <v>30</v>
      </c>
      <c r="B15" s="1" t="s">
        <v>31</v>
      </c>
      <c r="C15" s="1" t="s">
        <v>131</v>
      </c>
      <c r="D15" s="1">
        <v>17</v>
      </c>
      <c r="E15" s="1">
        <v>347</v>
      </c>
      <c r="F15" s="1">
        <v>347</v>
      </c>
      <c r="G15" s="1" t="s">
        <v>2</v>
      </c>
      <c r="H15" s="4">
        <v>1.2377832404906</v>
      </c>
      <c r="I15" s="4">
        <f t="shared" ref="I15:I60" si="1">IF(H15="NaN",0,H15*2)</f>
        <v>2.4755664809811999</v>
      </c>
      <c r="J15" s="1">
        <v>1.2377832404906</v>
      </c>
      <c r="K15" s="1" t="s">
        <v>2</v>
      </c>
      <c r="L15" s="1" t="s">
        <v>6</v>
      </c>
    </row>
    <row r="16" spans="1:12" ht="48" x14ac:dyDescent="0.2">
      <c r="A16" s="1" t="s">
        <v>32</v>
      </c>
      <c r="B16" s="1" t="s">
        <v>33</v>
      </c>
      <c r="C16" s="1" t="s">
        <v>131</v>
      </c>
      <c r="D16" s="1">
        <v>18</v>
      </c>
      <c r="E16" s="1">
        <v>327</v>
      </c>
      <c r="F16" s="1">
        <v>327</v>
      </c>
      <c r="G16" s="1" t="s">
        <v>2</v>
      </c>
      <c r="H16" s="4">
        <v>1.1140085974487399</v>
      </c>
      <c r="I16" s="4">
        <f t="shared" si="1"/>
        <v>2.2280171948974798</v>
      </c>
      <c r="J16" s="1">
        <v>1.1140085974487399</v>
      </c>
      <c r="K16" s="1" t="s">
        <v>2</v>
      </c>
      <c r="L16" s="1" t="s">
        <v>6</v>
      </c>
    </row>
    <row r="17" spans="1:12" ht="48" x14ac:dyDescent="0.2">
      <c r="A17" s="1" t="s">
        <v>34</v>
      </c>
      <c r="B17" s="1" t="s">
        <v>35</v>
      </c>
      <c r="C17" s="1" t="s">
        <v>131</v>
      </c>
      <c r="D17" s="1">
        <v>19</v>
      </c>
      <c r="E17" s="1">
        <v>397</v>
      </c>
      <c r="F17" s="1">
        <v>397</v>
      </c>
      <c r="G17" s="1" t="s">
        <v>2</v>
      </c>
      <c r="H17" s="4">
        <v>1.54450379659762</v>
      </c>
      <c r="I17" s="4">
        <f t="shared" si="1"/>
        <v>3.0890075931952401</v>
      </c>
      <c r="J17" s="1">
        <v>1.54450379659762</v>
      </c>
      <c r="K17" s="1" t="s">
        <v>2</v>
      </c>
      <c r="L17" s="1" t="s">
        <v>3</v>
      </c>
    </row>
    <row r="18" spans="1:12" ht="48" x14ac:dyDescent="0.2">
      <c r="A18" s="1" t="s">
        <v>36</v>
      </c>
      <c r="B18" s="1" t="s">
        <v>37</v>
      </c>
      <c r="C18" s="1" t="s">
        <v>131</v>
      </c>
      <c r="D18" s="1">
        <v>20</v>
      </c>
      <c r="E18" s="1">
        <v>525</v>
      </c>
      <c r="F18" s="1">
        <v>525</v>
      </c>
      <c r="G18" s="1" t="s">
        <v>2</v>
      </c>
      <c r="H18" s="4">
        <v>2.3163953286287202</v>
      </c>
      <c r="I18" s="4">
        <f t="shared" si="1"/>
        <v>4.6327906572574404</v>
      </c>
      <c r="J18" s="1">
        <v>2.3163953286287202</v>
      </c>
      <c r="K18" s="1" t="s">
        <v>2</v>
      </c>
      <c r="L18" s="1" t="s">
        <v>3</v>
      </c>
    </row>
    <row r="19" spans="1:12" ht="48" x14ac:dyDescent="0.2">
      <c r="A19" s="1" t="s">
        <v>38</v>
      </c>
      <c r="B19" s="1" t="s">
        <v>39</v>
      </c>
      <c r="C19" s="1" t="s">
        <v>131</v>
      </c>
      <c r="D19" s="1">
        <v>21</v>
      </c>
      <c r="E19" s="1">
        <v>470</v>
      </c>
      <c r="F19" s="1">
        <v>470</v>
      </c>
      <c r="G19" s="1" t="s">
        <v>2</v>
      </c>
      <c r="H19" s="4">
        <v>1.9867160286244001</v>
      </c>
      <c r="I19" s="4">
        <f t="shared" si="1"/>
        <v>3.9734320572488002</v>
      </c>
      <c r="J19" s="1">
        <v>1.9867160286244001</v>
      </c>
      <c r="K19" s="1" t="s">
        <v>2</v>
      </c>
      <c r="L19" s="1" t="s">
        <v>3</v>
      </c>
    </row>
    <row r="20" spans="1:12" ht="48" x14ac:dyDescent="0.2">
      <c r="A20" s="1" t="s">
        <v>40</v>
      </c>
      <c r="B20" s="1" t="s">
        <v>41</v>
      </c>
      <c r="C20" s="1" t="s">
        <v>131</v>
      </c>
      <c r="D20" s="1">
        <v>22</v>
      </c>
      <c r="E20" s="1">
        <v>278</v>
      </c>
      <c r="F20" s="1">
        <v>278</v>
      </c>
      <c r="G20" s="1" t="s">
        <v>2</v>
      </c>
      <c r="H20" s="4">
        <v>0.80744175910133997</v>
      </c>
      <c r="I20" s="4">
        <f t="shared" si="1"/>
        <v>1.6148835182026799</v>
      </c>
      <c r="J20" s="1">
        <v>0.80744175910133997</v>
      </c>
      <c r="K20" s="1" t="s">
        <v>2</v>
      </c>
      <c r="L20" s="1" t="s">
        <v>6</v>
      </c>
    </row>
    <row r="21" spans="1:12" ht="48" x14ac:dyDescent="0.2">
      <c r="A21" s="1" t="s">
        <v>42</v>
      </c>
      <c r="B21" s="1" t="s">
        <v>43</v>
      </c>
      <c r="C21" s="1" t="s">
        <v>131</v>
      </c>
      <c r="D21" s="1">
        <v>23</v>
      </c>
      <c r="E21" s="1">
        <v>349</v>
      </c>
      <c r="F21" s="1">
        <v>349</v>
      </c>
      <c r="G21" s="1" t="s">
        <v>2</v>
      </c>
      <c r="H21" s="4">
        <v>1.25012362543265</v>
      </c>
      <c r="I21" s="4">
        <f t="shared" si="1"/>
        <v>2.5002472508653</v>
      </c>
      <c r="J21" s="1">
        <v>1.25012362543265</v>
      </c>
      <c r="K21" s="1" t="s">
        <v>2</v>
      </c>
      <c r="L21" s="1" t="s">
        <v>6</v>
      </c>
    </row>
    <row r="22" spans="1:12" ht="48" x14ac:dyDescent="0.2">
      <c r="A22" s="1" t="s">
        <v>44</v>
      </c>
      <c r="B22" s="1" t="s">
        <v>45</v>
      </c>
      <c r="C22" s="1" t="s">
        <v>131</v>
      </c>
      <c r="D22" s="1">
        <v>24</v>
      </c>
      <c r="E22" s="1">
        <v>363</v>
      </c>
      <c r="F22" s="1">
        <v>363</v>
      </c>
      <c r="G22" s="1" t="s">
        <v>2</v>
      </c>
      <c r="H22" s="4">
        <v>1.3363297211852601</v>
      </c>
      <c r="I22" s="4">
        <f t="shared" si="1"/>
        <v>2.6726594423705201</v>
      </c>
      <c r="J22" s="1">
        <v>1.3363297211852601</v>
      </c>
      <c r="K22" s="1" t="s">
        <v>2</v>
      </c>
      <c r="L22" s="1" t="s">
        <v>6</v>
      </c>
    </row>
    <row r="23" spans="1:12" ht="48" x14ac:dyDescent="0.2">
      <c r="A23" s="1" t="s">
        <v>46</v>
      </c>
      <c r="B23" s="1" t="s">
        <v>47</v>
      </c>
      <c r="C23" s="1" t="s">
        <v>131</v>
      </c>
      <c r="D23" s="1">
        <v>25</v>
      </c>
      <c r="E23" s="1">
        <v>247</v>
      </c>
      <c r="F23" s="1">
        <v>247</v>
      </c>
      <c r="G23" s="1" t="s">
        <v>2</v>
      </c>
      <c r="H23" s="4">
        <v>0.61035655934057198</v>
      </c>
      <c r="I23" s="4">
        <f>IF(H23="NaN",0,H23*2)</f>
        <v>1.220713118681144</v>
      </c>
      <c r="J23" s="1">
        <v>0.61035655934057198</v>
      </c>
      <c r="K23" s="1" t="s">
        <v>2</v>
      </c>
      <c r="L23" s="1" t="s">
        <v>6</v>
      </c>
    </row>
    <row r="24" spans="1:12" ht="48" x14ac:dyDescent="0.2">
      <c r="A24" s="1" t="s">
        <v>48</v>
      </c>
      <c r="B24" s="1" t="s">
        <v>49</v>
      </c>
      <c r="C24" s="1" t="s">
        <v>131</v>
      </c>
      <c r="D24" s="1">
        <v>26</v>
      </c>
      <c r="E24" s="1">
        <v>284</v>
      </c>
      <c r="F24" s="1">
        <v>284</v>
      </c>
      <c r="G24" s="1" t="s">
        <v>2</v>
      </c>
      <c r="H24" s="4">
        <v>0.84527308777468801</v>
      </c>
      <c r="I24" s="4">
        <f t="shared" si="1"/>
        <v>1.690546175549376</v>
      </c>
      <c r="J24" s="1">
        <v>0.84527308777468801</v>
      </c>
      <c r="K24" s="1" t="s">
        <v>2</v>
      </c>
      <c r="L24" s="1" t="s">
        <v>6</v>
      </c>
    </row>
    <row r="25" spans="1:12" ht="48" x14ac:dyDescent="0.2">
      <c r="A25" s="1" t="s">
        <v>50</v>
      </c>
      <c r="B25" s="1" t="s">
        <v>51</v>
      </c>
      <c r="C25" s="1" t="s">
        <v>131</v>
      </c>
      <c r="D25" s="1">
        <v>27</v>
      </c>
      <c r="E25" s="1">
        <v>463</v>
      </c>
      <c r="F25" s="1">
        <v>463</v>
      </c>
      <c r="G25" s="1" t="s">
        <v>2</v>
      </c>
      <c r="H25" s="4">
        <v>1.9445577428288801</v>
      </c>
      <c r="I25" s="4">
        <f t="shared" si="1"/>
        <v>3.8891154856577601</v>
      </c>
      <c r="J25" s="1">
        <v>1.9445577428288801</v>
      </c>
      <c r="K25" s="1" t="s">
        <v>2</v>
      </c>
      <c r="L25" s="1" t="s">
        <v>3</v>
      </c>
    </row>
    <row r="26" spans="1:12" ht="48" x14ac:dyDescent="0.2">
      <c r="A26" s="1" t="s">
        <v>52</v>
      </c>
      <c r="B26" s="1" t="s">
        <v>53</v>
      </c>
      <c r="C26" s="1" t="s">
        <v>131</v>
      </c>
      <c r="D26" s="1">
        <v>28</v>
      </c>
      <c r="E26" s="1">
        <v>309</v>
      </c>
      <c r="F26" s="1">
        <v>309</v>
      </c>
      <c r="G26" s="1" t="s">
        <v>2</v>
      </c>
      <c r="H26" s="4">
        <v>1.0019868576805899</v>
      </c>
      <c r="I26" s="4">
        <f>IF(H26="NaN",0,H26*4)</f>
        <v>4.0079474307223597</v>
      </c>
      <c r="J26" s="1">
        <v>1.0019868576805899</v>
      </c>
      <c r="K26" s="1" t="s">
        <v>2</v>
      </c>
      <c r="L26" s="1" t="s">
        <v>6</v>
      </c>
    </row>
    <row r="27" spans="1:12" ht="48" x14ac:dyDescent="0.2">
      <c r="A27" s="1" t="s">
        <v>54</v>
      </c>
      <c r="B27" s="1" t="s">
        <v>55</v>
      </c>
      <c r="C27" s="1" t="s">
        <v>131</v>
      </c>
      <c r="D27" s="1">
        <v>29</v>
      </c>
      <c r="E27" s="1">
        <v>369</v>
      </c>
      <c r="F27" s="1">
        <v>369</v>
      </c>
      <c r="G27" s="1" t="s">
        <v>2</v>
      </c>
      <c r="H27" s="4">
        <v>1.37318414617613</v>
      </c>
      <c r="I27" s="4">
        <f t="shared" si="1"/>
        <v>2.7463682923522601</v>
      </c>
      <c r="J27" s="1">
        <v>1.37318414617613</v>
      </c>
      <c r="K27" s="1" t="s">
        <v>2</v>
      </c>
      <c r="L27" s="1" t="s">
        <v>6</v>
      </c>
    </row>
    <row r="28" spans="1:12" ht="48" x14ac:dyDescent="0.2">
      <c r="A28" s="1" t="s">
        <v>56</v>
      </c>
      <c r="B28" s="1" t="s">
        <v>57</v>
      </c>
      <c r="C28" s="1" t="s">
        <v>131</v>
      </c>
      <c r="D28" s="1">
        <v>30</v>
      </c>
      <c r="E28" s="1">
        <v>354</v>
      </c>
      <c r="F28" s="1">
        <v>354</v>
      </c>
      <c r="G28" s="1" t="s">
        <v>2</v>
      </c>
      <c r="H28" s="4">
        <v>1.28094655265938</v>
      </c>
      <c r="I28" s="4">
        <f t="shared" si="1"/>
        <v>2.5618931053187599</v>
      </c>
      <c r="J28" s="1">
        <v>1.28094655265938</v>
      </c>
      <c r="K28" s="1" t="s">
        <v>2</v>
      </c>
      <c r="L28" s="1" t="s">
        <v>6</v>
      </c>
    </row>
    <row r="29" spans="1:12" ht="48" x14ac:dyDescent="0.2">
      <c r="A29" s="1" t="s">
        <v>58</v>
      </c>
      <c r="B29" s="1" t="s">
        <v>59</v>
      </c>
      <c r="C29" s="1" t="s">
        <v>131</v>
      </c>
      <c r="D29" s="1">
        <v>31</v>
      </c>
      <c r="E29" s="1">
        <v>478</v>
      </c>
      <c r="F29" s="1">
        <v>478</v>
      </c>
      <c r="G29" s="1" t="s">
        <v>2</v>
      </c>
      <c r="H29" s="4">
        <v>2.03483908722627</v>
      </c>
      <c r="I29" s="4">
        <f t="shared" si="1"/>
        <v>4.0696781744525401</v>
      </c>
      <c r="J29" s="1">
        <v>2.03483908722627</v>
      </c>
      <c r="K29" s="1" t="s">
        <v>2</v>
      </c>
      <c r="L29" s="1" t="s">
        <v>3</v>
      </c>
    </row>
    <row r="30" spans="1:12" ht="48" x14ac:dyDescent="0.2">
      <c r="A30" s="1" t="s">
        <v>60</v>
      </c>
      <c r="B30" s="1" t="s">
        <v>61</v>
      </c>
      <c r="C30" s="1" t="s">
        <v>131</v>
      </c>
      <c r="D30" s="1">
        <v>32</v>
      </c>
      <c r="E30" s="1">
        <v>335</v>
      </c>
      <c r="F30" s="1">
        <v>335</v>
      </c>
      <c r="G30" s="1" t="s">
        <v>2</v>
      </c>
      <c r="H30" s="4">
        <v>1.16360154237987</v>
      </c>
      <c r="I30" s="4">
        <f t="shared" si="1"/>
        <v>2.32720308475974</v>
      </c>
      <c r="J30" s="1">
        <v>1.16360154237987</v>
      </c>
      <c r="K30" s="1" t="s">
        <v>2</v>
      </c>
      <c r="L30" s="1" t="s">
        <v>6</v>
      </c>
    </row>
    <row r="31" spans="1:12" ht="48" x14ac:dyDescent="0.2">
      <c r="A31" s="1" t="s">
        <v>62</v>
      </c>
      <c r="B31" s="1" t="s">
        <v>63</v>
      </c>
      <c r="C31" s="1" t="s">
        <v>132</v>
      </c>
      <c r="D31" s="1">
        <v>3</v>
      </c>
      <c r="E31" s="1">
        <v>258</v>
      </c>
      <c r="F31" s="1">
        <v>258</v>
      </c>
      <c r="G31" s="1" t="s">
        <v>2</v>
      </c>
      <c r="H31" s="4">
        <v>0.68062796398697101</v>
      </c>
      <c r="I31" s="4">
        <f t="shared" si="1"/>
        <v>1.361255927973942</v>
      </c>
      <c r="J31" s="1">
        <v>0.68062796398697101</v>
      </c>
      <c r="K31" s="1" t="s">
        <v>2</v>
      </c>
      <c r="L31" s="1" t="s">
        <v>6</v>
      </c>
    </row>
    <row r="32" spans="1:12" ht="48" x14ac:dyDescent="0.2">
      <c r="A32" s="1" t="s">
        <v>64</v>
      </c>
      <c r="B32" s="1" t="s">
        <v>65</v>
      </c>
      <c r="C32" s="1" t="s">
        <v>132</v>
      </c>
      <c r="D32" s="1">
        <v>4</v>
      </c>
      <c r="E32" s="1">
        <v>216</v>
      </c>
      <c r="F32" s="1">
        <v>216</v>
      </c>
      <c r="G32" s="1" t="s">
        <v>2</v>
      </c>
      <c r="H32" s="4">
        <v>0.40977532624191898</v>
      </c>
      <c r="I32" s="4">
        <f t="shared" si="1"/>
        <v>0.81955065248383796</v>
      </c>
      <c r="J32" s="1">
        <v>0.40977532624191898</v>
      </c>
      <c r="K32" s="1" t="s">
        <v>2</v>
      </c>
      <c r="L32" s="1" t="s">
        <v>6</v>
      </c>
    </row>
    <row r="33" spans="1:12" ht="48" x14ac:dyDescent="0.2">
      <c r="A33" s="1" t="s">
        <v>66</v>
      </c>
      <c r="B33" s="1" t="s">
        <v>67</v>
      </c>
      <c r="C33" s="1" t="s">
        <v>132</v>
      </c>
      <c r="D33" s="1">
        <v>5</v>
      </c>
      <c r="E33" s="1">
        <v>241</v>
      </c>
      <c r="F33" s="1">
        <v>241</v>
      </c>
      <c r="G33" s="1" t="s">
        <v>2</v>
      </c>
      <c r="H33" s="4">
        <v>0.57184835925249899</v>
      </c>
      <c r="I33" s="4">
        <f t="shared" si="1"/>
        <v>1.143696718504998</v>
      </c>
      <c r="J33" s="1">
        <v>0.57184835925249899</v>
      </c>
      <c r="K33" s="1" t="s">
        <v>2</v>
      </c>
      <c r="L33" s="1" t="s">
        <v>6</v>
      </c>
    </row>
    <row r="34" spans="1:12" ht="48" x14ac:dyDescent="0.2">
      <c r="A34" s="1" t="s">
        <v>68</v>
      </c>
      <c r="B34" s="1" t="s">
        <v>69</v>
      </c>
      <c r="C34" s="1" t="s">
        <v>132</v>
      </c>
      <c r="D34" s="1">
        <v>6</v>
      </c>
      <c r="E34" s="1">
        <v>202</v>
      </c>
      <c r="F34" s="1">
        <v>202</v>
      </c>
      <c r="G34" s="1" t="s">
        <v>2</v>
      </c>
      <c r="H34" s="4">
        <v>0.31757176360580103</v>
      </c>
      <c r="I34" s="4">
        <f t="shared" si="1"/>
        <v>0.63514352721160205</v>
      </c>
      <c r="J34" s="1">
        <v>0.31757176360580103</v>
      </c>
      <c r="K34" s="1" t="s">
        <v>2</v>
      </c>
      <c r="L34" s="1" t="s">
        <v>6</v>
      </c>
    </row>
    <row r="35" spans="1:12" ht="48" x14ac:dyDescent="0.2">
      <c r="A35" s="1" t="s">
        <v>70</v>
      </c>
      <c r="B35" s="1" t="s">
        <v>71</v>
      </c>
      <c r="C35" s="1" t="s">
        <v>132</v>
      </c>
      <c r="D35" s="1">
        <v>7</v>
      </c>
      <c r="E35" s="1">
        <v>241</v>
      </c>
      <c r="F35" s="1">
        <v>241</v>
      </c>
      <c r="G35" s="1" t="s">
        <v>2</v>
      </c>
      <c r="H35" s="4">
        <v>0.57184835925249899</v>
      </c>
      <c r="I35" s="4">
        <f t="shared" si="1"/>
        <v>1.143696718504998</v>
      </c>
      <c r="J35" s="1">
        <v>0.57184835925249899</v>
      </c>
      <c r="K35" s="1" t="s">
        <v>2</v>
      </c>
      <c r="L35" s="1" t="s">
        <v>6</v>
      </c>
    </row>
    <row r="36" spans="1:12" ht="48" x14ac:dyDescent="0.2">
      <c r="A36" s="1" t="s">
        <v>72</v>
      </c>
      <c r="B36" s="1" t="s">
        <v>73</v>
      </c>
      <c r="C36" s="1" t="s">
        <v>132</v>
      </c>
      <c r="D36" s="1">
        <v>8</v>
      </c>
      <c r="E36" s="1">
        <v>269</v>
      </c>
      <c r="F36" s="1">
        <v>269</v>
      </c>
      <c r="G36" s="1" t="s">
        <v>2</v>
      </c>
      <c r="H36" s="4">
        <v>0.75051680523934206</v>
      </c>
      <c r="I36" s="4">
        <f t="shared" si="1"/>
        <v>1.5010336104786841</v>
      </c>
      <c r="J36" s="1">
        <v>0.75051680523934206</v>
      </c>
      <c r="K36" s="1" t="s">
        <v>2</v>
      </c>
      <c r="L36" s="1" t="s">
        <v>6</v>
      </c>
    </row>
    <row r="37" spans="1:12" ht="48" x14ac:dyDescent="0.2">
      <c r="A37" s="1" t="s">
        <v>74</v>
      </c>
      <c r="B37" s="1" t="s">
        <v>75</v>
      </c>
      <c r="C37" s="1" t="s">
        <v>132</v>
      </c>
      <c r="D37" s="1">
        <v>9</v>
      </c>
      <c r="E37" s="1">
        <v>247</v>
      </c>
      <c r="F37" s="1">
        <v>247</v>
      </c>
      <c r="G37" s="1" t="s">
        <v>2</v>
      </c>
      <c r="H37" s="4">
        <v>0.61035655934057198</v>
      </c>
      <c r="I37" s="4">
        <f t="shared" si="1"/>
        <v>1.220713118681144</v>
      </c>
      <c r="J37" s="1">
        <v>0.61035655934057198</v>
      </c>
      <c r="K37" s="1" t="s">
        <v>2</v>
      </c>
      <c r="L37" s="1" t="s">
        <v>6</v>
      </c>
    </row>
    <row r="38" spans="1:12" ht="48" x14ac:dyDescent="0.2">
      <c r="A38" s="1" t="s">
        <v>76</v>
      </c>
      <c r="B38" s="1" t="s">
        <v>77</v>
      </c>
      <c r="C38" s="1" t="s">
        <v>132</v>
      </c>
      <c r="D38" s="1">
        <v>10</v>
      </c>
      <c r="E38" s="1">
        <v>229</v>
      </c>
      <c r="F38" s="1">
        <v>229</v>
      </c>
      <c r="G38" s="1" t="s">
        <v>2</v>
      </c>
      <c r="H38" s="4">
        <v>0.49440737203095603</v>
      </c>
      <c r="I38" s="4">
        <f t="shared" si="1"/>
        <v>0.98881474406191205</v>
      </c>
      <c r="J38" s="1">
        <v>0.49440737203095603</v>
      </c>
      <c r="K38" s="1" t="s">
        <v>2</v>
      </c>
      <c r="L38" s="1" t="s">
        <v>6</v>
      </c>
    </row>
    <row r="39" spans="1:12" ht="48" x14ac:dyDescent="0.2">
      <c r="A39" s="1" t="s">
        <v>78</v>
      </c>
      <c r="B39" s="1" t="s">
        <v>79</v>
      </c>
      <c r="C39" s="1" t="s">
        <v>132</v>
      </c>
      <c r="D39" s="1">
        <v>11</v>
      </c>
      <c r="E39" s="1">
        <v>259</v>
      </c>
      <c r="F39" s="1">
        <v>259</v>
      </c>
      <c r="G39" s="1" t="s">
        <v>2</v>
      </c>
      <c r="H39" s="4">
        <v>0.68699665113749497</v>
      </c>
      <c r="I39" s="4">
        <f t="shared" si="1"/>
        <v>1.3739933022749899</v>
      </c>
      <c r="J39" s="1">
        <v>0.68699665113749497</v>
      </c>
      <c r="K39" s="1" t="s">
        <v>2</v>
      </c>
      <c r="L39" s="1" t="s">
        <v>6</v>
      </c>
    </row>
    <row r="40" spans="1:12" ht="48" x14ac:dyDescent="0.2">
      <c r="A40" s="1" t="s">
        <v>80</v>
      </c>
      <c r="B40" s="1" t="s">
        <v>81</v>
      </c>
      <c r="C40" s="1" t="s">
        <v>132</v>
      </c>
      <c r="D40" s="1">
        <v>12</v>
      </c>
      <c r="E40" s="1">
        <v>248</v>
      </c>
      <c r="F40" s="1">
        <v>248</v>
      </c>
      <c r="G40" s="1" t="s">
        <v>2</v>
      </c>
      <c r="H40" s="4">
        <v>0.61676188620594197</v>
      </c>
      <c r="I40" s="4">
        <f t="shared" si="1"/>
        <v>1.2335237724118839</v>
      </c>
      <c r="J40" s="1">
        <v>0.61676188620594197</v>
      </c>
      <c r="K40" s="1" t="s">
        <v>2</v>
      </c>
      <c r="L40" s="1" t="s">
        <v>6</v>
      </c>
    </row>
    <row r="41" spans="1:12" ht="48" x14ac:dyDescent="0.2">
      <c r="A41" s="1" t="s">
        <v>82</v>
      </c>
      <c r="B41" s="1" t="s">
        <v>83</v>
      </c>
      <c r="C41" s="1" t="s">
        <v>132</v>
      </c>
      <c r="D41" s="1">
        <v>13</v>
      </c>
      <c r="E41" s="1">
        <v>279</v>
      </c>
      <c r="F41" s="1">
        <v>279</v>
      </c>
      <c r="G41" s="1" t="s">
        <v>2</v>
      </c>
      <c r="H41" s="4">
        <v>0.81375338156698596</v>
      </c>
      <c r="I41" s="4">
        <f t="shared" si="1"/>
        <v>1.6275067631339719</v>
      </c>
      <c r="J41" s="1">
        <v>0.81375338156698596</v>
      </c>
      <c r="K41" s="1" t="s">
        <v>2</v>
      </c>
      <c r="L41" s="1" t="s">
        <v>6</v>
      </c>
    </row>
    <row r="42" spans="1:12" ht="48" x14ac:dyDescent="0.2">
      <c r="A42" s="1" t="s">
        <v>84</v>
      </c>
      <c r="B42" s="1" t="s">
        <v>85</v>
      </c>
      <c r="C42" s="1" t="s">
        <v>132</v>
      </c>
      <c r="D42" s="1">
        <v>14</v>
      </c>
      <c r="E42" s="1">
        <v>252</v>
      </c>
      <c r="F42" s="1">
        <v>252</v>
      </c>
      <c r="G42" s="1" t="s">
        <v>2</v>
      </c>
      <c r="H42" s="4">
        <v>0.64234840577184105</v>
      </c>
      <c r="I42" s="4">
        <f t="shared" si="1"/>
        <v>1.2846968115436821</v>
      </c>
      <c r="J42" s="1">
        <v>0.64234840577184105</v>
      </c>
      <c r="K42" s="1" t="s">
        <v>2</v>
      </c>
      <c r="L42" s="1" t="s">
        <v>6</v>
      </c>
    </row>
    <row r="43" spans="1:12" ht="48" x14ac:dyDescent="0.2">
      <c r="A43" s="1" t="s">
        <v>86</v>
      </c>
      <c r="B43" s="1" t="s">
        <v>87</v>
      </c>
      <c r="C43" s="1" t="s">
        <v>132</v>
      </c>
      <c r="D43" s="1">
        <v>15</v>
      </c>
      <c r="E43" s="1">
        <v>244</v>
      </c>
      <c r="F43" s="1">
        <v>244</v>
      </c>
      <c r="G43" s="1" t="s">
        <v>2</v>
      </c>
      <c r="H43" s="4">
        <v>0.59111905590763802</v>
      </c>
      <c r="I43" s="4">
        <f t="shared" si="1"/>
        <v>1.182238111815276</v>
      </c>
      <c r="J43" s="1">
        <v>0.59111905590763802</v>
      </c>
      <c r="K43" s="1" t="s">
        <v>2</v>
      </c>
      <c r="L43" s="1" t="s">
        <v>6</v>
      </c>
    </row>
    <row r="44" spans="1:12" ht="48" x14ac:dyDescent="0.2">
      <c r="A44" s="1" t="s">
        <v>88</v>
      </c>
      <c r="B44" s="1" t="s">
        <v>89</v>
      </c>
      <c r="C44" s="1" t="s">
        <v>132</v>
      </c>
      <c r="D44" s="1">
        <v>16</v>
      </c>
      <c r="E44" s="1">
        <v>222</v>
      </c>
      <c r="F44" s="1">
        <v>222</v>
      </c>
      <c r="G44" s="1" t="s">
        <v>2</v>
      </c>
      <c r="H44" s="4">
        <v>0.44894086640854503</v>
      </c>
      <c r="I44" s="4">
        <f t="shared" si="1"/>
        <v>0.89788173281709005</v>
      </c>
      <c r="J44" s="1">
        <v>0.44894086640854503</v>
      </c>
      <c r="K44" s="1" t="s">
        <v>2</v>
      </c>
      <c r="L44" s="1" t="s">
        <v>6</v>
      </c>
    </row>
    <row r="45" spans="1:12" ht="48" x14ac:dyDescent="0.2">
      <c r="A45" s="1" t="s">
        <v>90</v>
      </c>
      <c r="B45" s="1" t="s">
        <v>91</v>
      </c>
      <c r="C45" s="1" t="s">
        <v>132</v>
      </c>
      <c r="D45" s="1">
        <v>17</v>
      </c>
      <c r="E45" s="1">
        <v>290</v>
      </c>
      <c r="F45" s="1">
        <v>290</v>
      </c>
      <c r="G45" s="1" t="s">
        <v>2</v>
      </c>
      <c r="H45" s="4">
        <v>0.88301499822212504</v>
      </c>
      <c r="I45" s="4">
        <f t="shared" si="1"/>
        <v>1.7660299964442501</v>
      </c>
      <c r="J45" s="1">
        <v>0.88301499822212504</v>
      </c>
      <c r="K45" s="1" t="s">
        <v>2</v>
      </c>
      <c r="L45" s="1" t="s">
        <v>6</v>
      </c>
    </row>
    <row r="46" spans="1:12" ht="48" x14ac:dyDescent="0.2">
      <c r="A46" s="1" t="s">
        <v>92</v>
      </c>
      <c r="B46" s="1" t="s">
        <v>93</v>
      </c>
      <c r="C46" s="1" t="s">
        <v>132</v>
      </c>
      <c r="D46" s="1">
        <v>18</v>
      </c>
      <c r="E46" s="1">
        <v>250</v>
      </c>
      <c r="F46" s="1">
        <v>250</v>
      </c>
      <c r="G46" s="1" t="s">
        <v>2</v>
      </c>
      <c r="H46" s="4">
        <v>0.629562024785147</v>
      </c>
      <c r="I46" s="4">
        <f t="shared" si="1"/>
        <v>1.259124049570294</v>
      </c>
      <c r="J46" s="1">
        <v>0.629562024785147</v>
      </c>
      <c r="K46" s="1" t="s">
        <v>2</v>
      </c>
      <c r="L46" s="1" t="s">
        <v>6</v>
      </c>
    </row>
    <row r="47" spans="1:12" ht="48" x14ac:dyDescent="0.2">
      <c r="A47" s="1" t="s">
        <v>94</v>
      </c>
      <c r="B47" s="1" t="s">
        <v>95</v>
      </c>
      <c r="C47" s="1" t="s">
        <v>132</v>
      </c>
      <c r="D47" s="1">
        <v>19</v>
      </c>
      <c r="E47" s="1">
        <v>270</v>
      </c>
      <c r="F47" s="1">
        <v>270</v>
      </c>
      <c r="G47" s="1" t="s">
        <v>2</v>
      </c>
      <c r="H47" s="4">
        <v>0.75685278830111202</v>
      </c>
      <c r="I47" s="4">
        <f t="shared" si="1"/>
        <v>1.513705576602224</v>
      </c>
      <c r="J47" s="1">
        <v>0.75685278830111202</v>
      </c>
      <c r="K47" s="1" t="s">
        <v>2</v>
      </c>
      <c r="L47" s="1" t="s">
        <v>6</v>
      </c>
    </row>
    <row r="48" spans="1:12" ht="48" x14ac:dyDescent="0.2">
      <c r="A48" s="1" t="s">
        <v>96</v>
      </c>
      <c r="B48" s="1" t="s">
        <v>97</v>
      </c>
      <c r="C48" s="1" t="s">
        <v>132</v>
      </c>
      <c r="D48" s="1">
        <v>20</v>
      </c>
      <c r="E48" s="1">
        <v>243</v>
      </c>
      <c r="F48" s="1">
        <v>243</v>
      </c>
      <c r="G48" s="1" t="s">
        <v>2</v>
      </c>
      <c r="H48" s="4">
        <v>0.58469923791596901</v>
      </c>
      <c r="I48" s="4">
        <f t="shared" si="1"/>
        <v>1.169398475831938</v>
      </c>
      <c r="J48" s="1">
        <v>0.58469923791596901</v>
      </c>
      <c r="K48" s="1" t="s">
        <v>2</v>
      </c>
      <c r="L48" s="1" t="s">
        <v>6</v>
      </c>
    </row>
    <row r="49" spans="1:12" ht="48" x14ac:dyDescent="0.2">
      <c r="A49" s="1" t="s">
        <v>98</v>
      </c>
      <c r="B49" s="1" t="s">
        <v>99</v>
      </c>
      <c r="C49" s="1" t="s">
        <v>132</v>
      </c>
      <c r="D49" s="1">
        <v>21</v>
      </c>
      <c r="E49" s="1">
        <v>322</v>
      </c>
      <c r="F49" s="1">
        <v>322</v>
      </c>
      <c r="G49" s="1" t="s">
        <v>2</v>
      </c>
      <c r="H49" s="4">
        <v>1.0829538921414199</v>
      </c>
      <c r="I49" s="4">
        <f t="shared" si="1"/>
        <v>2.1659077842828398</v>
      </c>
      <c r="J49" s="1">
        <v>1.0829538921414199</v>
      </c>
      <c r="K49" s="1" t="s">
        <v>2</v>
      </c>
      <c r="L49" s="1" t="s">
        <v>6</v>
      </c>
    </row>
    <row r="50" spans="1:12" ht="48" x14ac:dyDescent="0.2">
      <c r="A50" s="1" t="s">
        <v>100</v>
      </c>
      <c r="B50" s="1" t="s">
        <v>101</v>
      </c>
      <c r="C50" s="1" t="s">
        <v>132</v>
      </c>
      <c r="D50" s="1">
        <v>22</v>
      </c>
      <c r="E50" s="1">
        <v>251</v>
      </c>
      <c r="F50" s="1">
        <v>251</v>
      </c>
      <c r="G50" s="1" t="s">
        <v>2</v>
      </c>
      <c r="H50" s="4">
        <v>0.635956915732515</v>
      </c>
      <c r="I50" s="4">
        <f t="shared" si="1"/>
        <v>1.27191383146503</v>
      </c>
      <c r="J50" s="1">
        <v>0.635956915732515</v>
      </c>
      <c r="K50" s="1" t="s">
        <v>2</v>
      </c>
      <c r="L50" s="1" t="s">
        <v>6</v>
      </c>
    </row>
    <row r="51" spans="1:12" ht="48" x14ac:dyDescent="0.2">
      <c r="A51" s="1" t="s">
        <v>102</v>
      </c>
      <c r="B51" s="1" t="s">
        <v>103</v>
      </c>
      <c r="C51" s="1" t="s">
        <v>132</v>
      </c>
      <c r="D51" s="1">
        <v>23</v>
      </c>
      <c r="E51" s="1">
        <v>285</v>
      </c>
      <c r="F51" s="1">
        <v>285</v>
      </c>
      <c r="G51" s="1" t="s">
        <v>2</v>
      </c>
      <c r="H51" s="4">
        <v>0.85156949685459804</v>
      </c>
      <c r="I51" s="4">
        <f t="shared" si="1"/>
        <v>1.7031389937091961</v>
      </c>
      <c r="J51" s="1">
        <v>0.85156949685459804</v>
      </c>
      <c r="K51" s="1" t="s">
        <v>2</v>
      </c>
      <c r="L51" s="1" t="s">
        <v>6</v>
      </c>
    </row>
    <row r="52" spans="1:12" ht="48" x14ac:dyDescent="0.2">
      <c r="A52" s="1" t="s">
        <v>104</v>
      </c>
      <c r="B52" s="1" t="s">
        <v>105</v>
      </c>
      <c r="C52" s="1" t="s">
        <v>132</v>
      </c>
      <c r="D52" s="1">
        <v>24</v>
      </c>
      <c r="E52" s="1">
        <v>254</v>
      </c>
      <c r="F52" s="1">
        <v>254</v>
      </c>
      <c r="G52" s="1" t="s">
        <v>2</v>
      </c>
      <c r="H52" s="4">
        <v>0.65512133132102701</v>
      </c>
      <c r="I52" s="4">
        <f t="shared" si="1"/>
        <v>1.310242662642054</v>
      </c>
      <c r="J52" s="1">
        <v>0.65512133132102701</v>
      </c>
      <c r="K52" s="1" t="s">
        <v>2</v>
      </c>
      <c r="L52" s="1" t="s">
        <v>6</v>
      </c>
    </row>
    <row r="53" spans="1:12" ht="48" x14ac:dyDescent="0.2">
      <c r="A53" s="1" t="s">
        <v>106</v>
      </c>
      <c r="B53" s="1" t="s">
        <v>107</v>
      </c>
      <c r="C53" s="1" t="s">
        <v>132</v>
      </c>
      <c r="D53" s="1">
        <v>25</v>
      </c>
      <c r="E53" s="1">
        <v>259</v>
      </c>
      <c r="F53" s="1">
        <v>259</v>
      </c>
      <c r="G53" s="1" t="s">
        <v>2</v>
      </c>
      <c r="H53" s="4">
        <v>0.68699665113749497</v>
      </c>
      <c r="I53" s="4">
        <f t="shared" si="1"/>
        <v>1.3739933022749899</v>
      </c>
      <c r="J53" s="1">
        <v>0.68699665113749497</v>
      </c>
      <c r="K53" s="1" t="s">
        <v>2</v>
      </c>
      <c r="L53" s="1" t="s">
        <v>6</v>
      </c>
    </row>
    <row r="54" spans="1:12" ht="48" x14ac:dyDescent="0.2">
      <c r="A54" s="1" t="s">
        <v>108</v>
      </c>
      <c r="B54" s="1" t="s">
        <v>109</v>
      </c>
      <c r="C54" s="1" t="s">
        <v>132</v>
      </c>
      <c r="D54" s="1">
        <v>26</v>
      </c>
      <c r="E54" s="1">
        <v>275</v>
      </c>
      <c r="F54" s="1">
        <v>275</v>
      </c>
      <c r="G54" s="1" t="s">
        <v>2</v>
      </c>
      <c r="H54" s="4">
        <v>0.78849112883971095</v>
      </c>
      <c r="I54" s="4">
        <f t="shared" si="1"/>
        <v>1.5769822576794219</v>
      </c>
      <c r="J54" s="1">
        <v>0.78849112883971095</v>
      </c>
      <c r="K54" s="1" t="s">
        <v>2</v>
      </c>
      <c r="L54" s="1" t="s">
        <v>6</v>
      </c>
    </row>
    <row r="55" spans="1:12" ht="48" x14ac:dyDescent="0.2">
      <c r="A55" s="1" t="s">
        <v>110</v>
      </c>
      <c r="B55" s="1" t="s">
        <v>111</v>
      </c>
      <c r="C55" s="1" t="s">
        <v>132</v>
      </c>
      <c r="D55" s="1">
        <v>27</v>
      </c>
      <c r="E55" s="1">
        <v>271</v>
      </c>
      <c r="F55" s="1">
        <v>271</v>
      </c>
      <c r="G55" s="1" t="s">
        <v>2</v>
      </c>
      <c r="H55" s="4">
        <v>0.763185966113199</v>
      </c>
      <c r="I55" s="4">
        <f t="shared" si="1"/>
        <v>1.526371932226398</v>
      </c>
      <c r="J55" s="1">
        <v>0.763185966113199</v>
      </c>
      <c r="K55" s="1" t="s">
        <v>2</v>
      </c>
      <c r="L55" s="1" t="s">
        <v>6</v>
      </c>
    </row>
    <row r="56" spans="1:12" ht="48" x14ac:dyDescent="0.2">
      <c r="A56" s="1" t="s">
        <v>112</v>
      </c>
      <c r="B56" s="1" t="s">
        <v>113</v>
      </c>
      <c r="C56" s="1" t="s">
        <v>132</v>
      </c>
      <c r="D56" s="1">
        <v>28</v>
      </c>
      <c r="E56" s="1">
        <v>251</v>
      </c>
      <c r="F56" s="1">
        <v>251</v>
      </c>
      <c r="G56" s="1" t="s">
        <v>2</v>
      </c>
      <c r="H56" s="4">
        <v>0.635956915732515</v>
      </c>
      <c r="I56" s="4">
        <f t="shared" si="1"/>
        <v>1.27191383146503</v>
      </c>
      <c r="J56" s="1">
        <v>0.635956915732515</v>
      </c>
      <c r="K56" s="1" t="s">
        <v>2</v>
      </c>
      <c r="L56" s="1" t="s">
        <v>6</v>
      </c>
    </row>
    <row r="57" spans="1:12" ht="48" x14ac:dyDescent="0.2">
      <c r="A57" s="1" t="s">
        <v>114</v>
      </c>
      <c r="B57" s="1" t="s">
        <v>115</v>
      </c>
      <c r="C57" s="1" t="s">
        <v>132</v>
      </c>
      <c r="D57" s="1">
        <v>29</v>
      </c>
      <c r="E57" s="1">
        <v>260</v>
      </c>
      <c r="F57" s="1">
        <v>260</v>
      </c>
      <c r="G57" s="1" t="s">
        <v>2</v>
      </c>
      <c r="H57" s="4">
        <v>0.69336221568995104</v>
      </c>
      <c r="I57" s="4">
        <f t="shared" si="1"/>
        <v>1.3867244313799021</v>
      </c>
      <c r="J57" s="1">
        <v>0.69336221568995104</v>
      </c>
      <c r="K57" s="1" t="s">
        <v>2</v>
      </c>
      <c r="L57" s="1" t="s">
        <v>6</v>
      </c>
    </row>
    <row r="58" spans="1:12" ht="48" x14ac:dyDescent="0.2">
      <c r="A58" s="1" t="s">
        <v>116</v>
      </c>
      <c r="B58" s="1" t="s">
        <v>117</v>
      </c>
      <c r="C58" s="1" t="s">
        <v>132</v>
      </c>
      <c r="D58" s="1">
        <v>30</v>
      </c>
      <c r="E58" s="1">
        <v>390</v>
      </c>
      <c r="F58" s="1">
        <v>390</v>
      </c>
      <c r="G58" s="1" t="s">
        <v>2</v>
      </c>
      <c r="H58" s="4">
        <v>1.5017726783596399</v>
      </c>
      <c r="I58" s="4">
        <f t="shared" si="1"/>
        <v>3.0035453567192798</v>
      </c>
      <c r="J58" s="1">
        <v>1.5017726783596399</v>
      </c>
      <c r="K58" s="1" t="s">
        <v>2</v>
      </c>
      <c r="L58" s="1" t="s">
        <v>3</v>
      </c>
    </row>
    <row r="59" spans="1:12" ht="48" x14ac:dyDescent="0.2">
      <c r="A59" s="1" t="s">
        <v>118</v>
      </c>
      <c r="B59" s="1" t="s">
        <v>119</v>
      </c>
      <c r="C59" s="1" t="s">
        <v>132</v>
      </c>
      <c r="D59" s="1">
        <v>31</v>
      </c>
      <c r="E59" s="1">
        <v>278</v>
      </c>
      <c r="F59" s="1">
        <v>278</v>
      </c>
      <c r="G59" s="1" t="s">
        <v>2</v>
      </c>
      <c r="H59" s="4">
        <v>0.80744175910133997</v>
      </c>
      <c r="I59" s="4">
        <f t="shared" si="1"/>
        <v>1.6148835182026799</v>
      </c>
      <c r="J59" s="1">
        <v>0.80744175910133997</v>
      </c>
      <c r="K59" s="1" t="s">
        <v>2</v>
      </c>
      <c r="L59" s="1" t="s">
        <v>6</v>
      </c>
    </row>
    <row r="60" spans="1:12" ht="48" x14ac:dyDescent="0.2">
      <c r="A60" s="1" t="s">
        <v>120</v>
      </c>
      <c r="B60" s="1" t="s">
        <v>121</v>
      </c>
      <c r="C60" s="1" t="s">
        <v>132</v>
      </c>
      <c r="D60" s="1">
        <v>32</v>
      </c>
      <c r="E60" s="1">
        <v>225</v>
      </c>
      <c r="F60" s="1">
        <v>225</v>
      </c>
      <c r="G60" s="1" t="s">
        <v>2</v>
      </c>
      <c r="H60" s="4">
        <v>0.46845499267502</v>
      </c>
      <c r="I60" s="4">
        <f t="shared" si="1"/>
        <v>0.93690998535004</v>
      </c>
      <c r="J60" s="1">
        <v>0.46845499267502</v>
      </c>
      <c r="K60" s="1" t="s">
        <v>2</v>
      </c>
      <c r="L60" s="1" t="s">
        <v>6</v>
      </c>
    </row>
    <row r="61" spans="1:12" x14ac:dyDescent="0.2">
      <c r="H61"/>
      <c r="I61"/>
    </row>
    <row r="62" spans="1:12" x14ac:dyDescent="0.2">
      <c r="H62"/>
      <c r="I62"/>
    </row>
    <row r="63" spans="1:12" x14ac:dyDescent="0.2">
      <c r="H63"/>
      <c r="I63"/>
    </row>
    <row r="64" spans="1:12" x14ac:dyDescent="0.2">
      <c r="H64"/>
      <c r="I64"/>
    </row>
    <row r="65" spans="8:9" x14ac:dyDescent="0.2">
      <c r="H65"/>
      <c r="I65"/>
    </row>
    <row r="66" spans="8:9" x14ac:dyDescent="0.2">
      <c r="H66"/>
      <c r="I66"/>
    </row>
    <row r="67" spans="8:9" x14ac:dyDescent="0.2">
      <c r="H67"/>
      <c r="I67"/>
    </row>
    <row r="68" spans="8:9" x14ac:dyDescent="0.2">
      <c r="H68"/>
      <c r="I68"/>
    </row>
    <row r="69" spans="8:9" x14ac:dyDescent="0.2">
      <c r="H69"/>
      <c r="I69"/>
    </row>
    <row r="70" spans="8:9" x14ac:dyDescent="0.2">
      <c r="H70"/>
      <c r="I70"/>
    </row>
    <row r="71" spans="8:9" x14ac:dyDescent="0.2">
      <c r="H71"/>
      <c r="I71"/>
    </row>
    <row r="72" spans="8:9" x14ac:dyDescent="0.2">
      <c r="H72"/>
      <c r="I72"/>
    </row>
    <row r="73" spans="8:9" x14ac:dyDescent="0.2">
      <c r="H73"/>
      <c r="I73"/>
    </row>
    <row r="74" spans="8:9" x14ac:dyDescent="0.2">
      <c r="H74"/>
      <c r="I74"/>
    </row>
    <row r="75" spans="8:9" x14ac:dyDescent="0.2">
      <c r="H75"/>
      <c r="I75"/>
    </row>
    <row r="76" spans="8:9" x14ac:dyDescent="0.2">
      <c r="H76"/>
      <c r="I76"/>
    </row>
    <row r="77" spans="8:9" x14ac:dyDescent="0.2">
      <c r="H77"/>
      <c r="I77"/>
    </row>
    <row r="78" spans="8:9" x14ac:dyDescent="0.2">
      <c r="H78"/>
      <c r="I78"/>
    </row>
    <row r="79" spans="8:9" x14ac:dyDescent="0.2">
      <c r="H79"/>
      <c r="I79"/>
    </row>
    <row r="80" spans="8:9" x14ac:dyDescent="0.2">
      <c r="H80"/>
      <c r="I80"/>
    </row>
    <row r="81" spans="8:9" x14ac:dyDescent="0.2">
      <c r="H81"/>
      <c r="I8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81"/>
  <sheetViews>
    <sheetView workbookViewId="0">
      <selection activeCell="H2" sqref="H2"/>
    </sheetView>
  </sheetViews>
  <sheetFormatPr baseColWidth="10" defaultColWidth="8.83203125" defaultRowHeight="15" x14ac:dyDescent="0.2"/>
  <cols>
    <col min="8" max="8" width="8.6640625" style="5"/>
    <col min="9" max="9" width="8.83203125" style="5"/>
  </cols>
  <sheetData>
    <row r="1" spans="1:12" s="2" customFormat="1" x14ac:dyDescent="0.2">
      <c r="A1" s="2" t="s">
        <v>122</v>
      </c>
      <c r="B1" s="2" t="s">
        <v>125</v>
      </c>
      <c r="C1" s="2" t="s">
        <v>133</v>
      </c>
      <c r="D1" s="2" t="s">
        <v>134</v>
      </c>
      <c r="E1" s="2" t="s">
        <v>126</v>
      </c>
      <c r="F1" s="2" t="s">
        <v>127</v>
      </c>
      <c r="G1" s="2" t="s">
        <v>123</v>
      </c>
      <c r="H1" s="3" t="s">
        <v>128</v>
      </c>
      <c r="I1" s="3" t="s">
        <v>135</v>
      </c>
      <c r="J1" s="2" t="s">
        <v>129</v>
      </c>
      <c r="K1" s="2" t="s">
        <v>130</v>
      </c>
      <c r="L1" s="2" t="s">
        <v>124</v>
      </c>
    </row>
    <row r="2" spans="1:12" ht="48" x14ac:dyDescent="0.2">
      <c r="A2" s="1" t="s">
        <v>0</v>
      </c>
      <c r="B2" s="1" t="s">
        <v>1</v>
      </c>
      <c r="C2" s="1" t="s">
        <v>131</v>
      </c>
      <c r="D2" s="1">
        <v>4</v>
      </c>
      <c r="E2" s="1">
        <v>658</v>
      </c>
      <c r="F2" s="1">
        <v>658</v>
      </c>
      <c r="G2" s="1" t="s">
        <v>2</v>
      </c>
      <c r="H2" s="4">
        <v>0.96039641236756401</v>
      </c>
      <c r="I2" s="4">
        <f>IF(H2="NaN",0,H2*2)</f>
        <v>1.920792824735128</v>
      </c>
      <c r="J2" s="1">
        <v>0.96039641236756401</v>
      </c>
      <c r="K2" s="1" t="s">
        <v>2</v>
      </c>
      <c r="L2" s="1" t="s">
        <v>3</v>
      </c>
    </row>
    <row r="3" spans="1:12" ht="48" x14ac:dyDescent="0.2">
      <c r="A3" s="1" t="s">
        <v>4</v>
      </c>
      <c r="B3" s="1" t="s">
        <v>5</v>
      </c>
      <c r="C3" s="1" t="s">
        <v>131</v>
      </c>
      <c r="D3" s="1">
        <v>5</v>
      </c>
      <c r="E3" s="1">
        <v>552</v>
      </c>
      <c r="F3" s="1">
        <v>552</v>
      </c>
      <c r="G3" s="1" t="s">
        <v>2</v>
      </c>
      <c r="H3" s="4">
        <v>0.61737803024932902</v>
      </c>
      <c r="I3" s="4">
        <f>IF(H3="NaN",0,H3*4)</f>
        <v>2.4695121209973161</v>
      </c>
      <c r="J3" s="1">
        <v>0.61737803024932902</v>
      </c>
      <c r="K3" s="1" t="s">
        <v>2</v>
      </c>
      <c r="L3" s="1" t="s">
        <v>3</v>
      </c>
    </row>
    <row r="4" spans="1:12" ht="48" x14ac:dyDescent="0.2">
      <c r="A4" s="1" t="s">
        <v>7</v>
      </c>
      <c r="B4" s="1" t="s">
        <v>8</v>
      </c>
      <c r="C4" s="1" t="s">
        <v>131</v>
      </c>
      <c r="D4" s="1">
        <v>6</v>
      </c>
      <c r="E4" s="1">
        <v>438</v>
      </c>
      <c r="F4" s="1">
        <v>438</v>
      </c>
      <c r="G4" s="1" t="s">
        <v>2</v>
      </c>
      <c r="H4" s="4">
        <v>0.246097529579207</v>
      </c>
      <c r="I4" s="4">
        <f>IF(H4="NaN",0,H4*4)</f>
        <v>0.98439011831682799</v>
      </c>
      <c r="J4" s="1">
        <v>0.246097529579207</v>
      </c>
      <c r="K4" s="1" t="s">
        <v>2</v>
      </c>
      <c r="L4" s="1" t="s">
        <v>3</v>
      </c>
    </row>
    <row r="5" spans="1:12" ht="48" x14ac:dyDescent="0.2">
      <c r="A5" s="1" t="s">
        <v>9</v>
      </c>
      <c r="B5" s="1" t="s">
        <v>10</v>
      </c>
      <c r="C5" s="1" t="s">
        <v>131</v>
      </c>
      <c r="D5" s="1">
        <v>7</v>
      </c>
      <c r="E5" s="1">
        <v>444</v>
      </c>
      <c r="F5" s="1">
        <v>444</v>
      </c>
      <c r="G5" s="1" t="s">
        <v>2</v>
      </c>
      <c r="H5" s="4">
        <v>0.26573695262596297</v>
      </c>
      <c r="I5" s="4">
        <f t="shared" ref="I5:I14" si="0">IF(H5="NaN",0,H5*4)</f>
        <v>1.0629478105038519</v>
      </c>
      <c r="J5" s="1">
        <v>0.26573695262596297</v>
      </c>
      <c r="K5" s="1" t="s">
        <v>2</v>
      </c>
      <c r="L5" s="1" t="s">
        <v>3</v>
      </c>
    </row>
    <row r="6" spans="1:12" ht="48" x14ac:dyDescent="0.2">
      <c r="A6" s="1" t="s">
        <v>11</v>
      </c>
      <c r="B6" s="1" t="s">
        <v>12</v>
      </c>
      <c r="C6" s="1" t="s">
        <v>131</v>
      </c>
      <c r="D6" s="1">
        <v>8</v>
      </c>
      <c r="E6" s="1">
        <v>442</v>
      </c>
      <c r="F6" s="1">
        <v>442</v>
      </c>
      <c r="G6" s="1" t="s">
        <v>2</v>
      </c>
      <c r="H6" s="4">
        <v>0.25919218400263999</v>
      </c>
      <c r="I6" s="4">
        <f t="shared" si="0"/>
        <v>1.03676873601056</v>
      </c>
      <c r="J6" s="1">
        <v>0.25919218400263999</v>
      </c>
      <c r="K6" s="1" t="s">
        <v>2</v>
      </c>
      <c r="L6" s="1" t="s">
        <v>3</v>
      </c>
    </row>
    <row r="7" spans="1:12" ht="48" x14ac:dyDescent="0.2">
      <c r="A7" s="1" t="s">
        <v>13</v>
      </c>
      <c r="B7" s="1" t="s">
        <v>14</v>
      </c>
      <c r="C7" s="1" t="s">
        <v>131</v>
      </c>
      <c r="D7" s="1">
        <v>9</v>
      </c>
      <c r="E7" s="1">
        <v>519</v>
      </c>
      <c r="F7" s="1">
        <v>519</v>
      </c>
      <c r="G7" s="1" t="s">
        <v>2</v>
      </c>
      <c r="H7" s="4">
        <v>0.51022885550618902</v>
      </c>
      <c r="I7" s="4">
        <f t="shared" si="0"/>
        <v>2.0409154220247561</v>
      </c>
      <c r="J7" s="1">
        <v>0.51022885550618902</v>
      </c>
      <c r="K7" s="1" t="s">
        <v>2</v>
      </c>
      <c r="L7" s="1" t="s">
        <v>3</v>
      </c>
    </row>
    <row r="8" spans="1:12" ht="48" x14ac:dyDescent="0.2">
      <c r="A8" s="1" t="s">
        <v>15</v>
      </c>
      <c r="B8" s="1" t="s">
        <v>16</v>
      </c>
      <c r="C8" s="1" t="s">
        <v>131</v>
      </c>
      <c r="D8" s="1">
        <v>10</v>
      </c>
      <c r="E8" s="1">
        <v>398</v>
      </c>
      <c r="F8" s="1">
        <v>398</v>
      </c>
      <c r="G8" s="1" t="s">
        <v>2</v>
      </c>
      <c r="H8" s="4">
        <v>0.114668486055737</v>
      </c>
      <c r="I8" s="4">
        <f t="shared" si="0"/>
        <v>0.45867394422294799</v>
      </c>
      <c r="J8" s="1">
        <v>0.114668486055737</v>
      </c>
      <c r="K8" s="1" t="s">
        <v>2</v>
      </c>
      <c r="L8" s="1" t="s">
        <v>6</v>
      </c>
    </row>
    <row r="9" spans="1:12" ht="48" x14ac:dyDescent="0.2">
      <c r="A9" s="1" t="s">
        <v>17</v>
      </c>
      <c r="B9" s="1" t="s">
        <v>18</v>
      </c>
      <c r="C9" s="1" t="s">
        <v>131</v>
      </c>
      <c r="D9" s="1">
        <v>11</v>
      </c>
      <c r="E9" s="1">
        <v>408</v>
      </c>
      <c r="F9" s="1">
        <v>408</v>
      </c>
      <c r="G9" s="1" t="s">
        <v>2</v>
      </c>
      <c r="H9" s="4">
        <v>0.14762623144690501</v>
      </c>
      <c r="I9" s="4">
        <f t="shared" si="0"/>
        <v>0.59050492578762004</v>
      </c>
      <c r="J9" s="1">
        <v>0.14762623144690501</v>
      </c>
      <c r="K9" s="1" t="s">
        <v>2</v>
      </c>
      <c r="L9" s="1" t="s">
        <v>6</v>
      </c>
    </row>
    <row r="10" spans="1:12" ht="48" x14ac:dyDescent="0.2">
      <c r="A10" s="1" t="s">
        <v>20</v>
      </c>
      <c r="B10" s="1" t="s">
        <v>21</v>
      </c>
      <c r="C10" s="1" t="s">
        <v>131</v>
      </c>
      <c r="D10" s="1">
        <v>12</v>
      </c>
      <c r="E10" s="1">
        <v>390</v>
      </c>
      <c r="F10" s="1">
        <v>390</v>
      </c>
      <c r="G10" s="1" t="s">
        <v>2</v>
      </c>
      <c r="H10" s="4">
        <v>8.8232908530922305E-2</v>
      </c>
      <c r="I10" s="4">
        <f t="shared" si="0"/>
        <v>0.35293163412368922</v>
      </c>
      <c r="J10" s="1">
        <v>8.8232908530922305E-2</v>
      </c>
      <c r="K10" s="1" t="s">
        <v>2</v>
      </c>
      <c r="L10" s="1" t="s">
        <v>6</v>
      </c>
    </row>
    <row r="11" spans="1:12" ht="48" x14ac:dyDescent="0.2">
      <c r="A11" s="1" t="s">
        <v>22</v>
      </c>
      <c r="B11" s="1" t="s">
        <v>23</v>
      </c>
      <c r="C11" s="1" t="s">
        <v>131</v>
      </c>
      <c r="D11" s="1">
        <v>13</v>
      </c>
      <c r="E11" s="1">
        <v>447</v>
      </c>
      <c r="F11" s="1">
        <v>447</v>
      </c>
      <c r="G11" s="1" t="s">
        <v>2</v>
      </c>
      <c r="H11" s="4">
        <v>0.27555102778291701</v>
      </c>
      <c r="I11" s="4">
        <f t="shared" si="0"/>
        <v>1.1022041111316681</v>
      </c>
      <c r="J11" s="1">
        <v>0.27555102778291701</v>
      </c>
      <c r="K11" s="1" t="s">
        <v>2</v>
      </c>
      <c r="L11" s="1" t="s">
        <v>3</v>
      </c>
    </row>
    <row r="12" spans="1:12" ht="48" x14ac:dyDescent="0.2">
      <c r="A12" s="1" t="s">
        <v>24</v>
      </c>
      <c r="B12" s="1" t="s">
        <v>25</v>
      </c>
      <c r="C12" s="1" t="s">
        <v>131</v>
      </c>
      <c r="D12" s="1">
        <v>14</v>
      </c>
      <c r="E12" s="1">
        <v>441</v>
      </c>
      <c r="F12" s="1">
        <v>441</v>
      </c>
      <c r="G12" s="1" t="s">
        <v>2</v>
      </c>
      <c r="H12" s="4">
        <v>0.25591916833908201</v>
      </c>
      <c r="I12" s="4">
        <f t="shared" si="0"/>
        <v>1.0236766733563281</v>
      </c>
      <c r="J12" s="1">
        <v>0.25591916833908201</v>
      </c>
      <c r="K12" s="1" t="s">
        <v>2</v>
      </c>
      <c r="L12" s="1" t="s">
        <v>3</v>
      </c>
    </row>
    <row r="13" spans="1:12" ht="48" x14ac:dyDescent="0.2">
      <c r="A13" s="1" t="s">
        <v>26</v>
      </c>
      <c r="B13" s="1" t="s">
        <v>27</v>
      </c>
      <c r="C13" s="1" t="s">
        <v>131</v>
      </c>
      <c r="D13" s="1">
        <v>15</v>
      </c>
      <c r="E13" s="1">
        <v>418</v>
      </c>
      <c r="F13" s="1">
        <v>418</v>
      </c>
      <c r="G13" s="1" t="s">
        <v>2</v>
      </c>
      <c r="H13" s="4">
        <v>0.180508250862427</v>
      </c>
      <c r="I13" s="4">
        <f t="shared" si="0"/>
        <v>0.722033003449708</v>
      </c>
      <c r="J13" s="1">
        <v>0.180508250862427</v>
      </c>
      <c r="K13" s="1" t="s">
        <v>2</v>
      </c>
      <c r="L13" s="1" t="s">
        <v>6</v>
      </c>
    </row>
    <row r="14" spans="1:12" ht="48" x14ac:dyDescent="0.2">
      <c r="A14" s="1" t="s">
        <v>28</v>
      </c>
      <c r="B14" s="1" t="s">
        <v>29</v>
      </c>
      <c r="C14" s="1" t="s">
        <v>131</v>
      </c>
      <c r="D14" s="1">
        <v>16</v>
      </c>
      <c r="E14" s="1">
        <v>459</v>
      </c>
      <c r="F14" s="1">
        <v>459</v>
      </c>
      <c r="G14" s="1" t="s">
        <v>2</v>
      </c>
      <c r="H14" s="4">
        <v>0.314772797724992</v>
      </c>
      <c r="I14" s="4">
        <f t="shared" si="0"/>
        <v>1.259091190899968</v>
      </c>
      <c r="J14" s="1">
        <v>0.314772797724992</v>
      </c>
      <c r="K14" s="1" t="s">
        <v>2</v>
      </c>
      <c r="L14" s="1" t="s">
        <v>3</v>
      </c>
    </row>
    <row r="15" spans="1:12" ht="48" x14ac:dyDescent="0.2">
      <c r="A15" s="1" t="s">
        <v>30</v>
      </c>
      <c r="B15" s="1" t="s">
        <v>31</v>
      </c>
      <c r="C15" s="1" t="s">
        <v>131</v>
      </c>
      <c r="D15" s="1">
        <v>17</v>
      </c>
      <c r="E15" s="1">
        <v>406</v>
      </c>
      <c r="F15" s="1">
        <v>406</v>
      </c>
      <c r="G15" s="1" t="s">
        <v>2</v>
      </c>
      <c r="H15" s="4">
        <v>0.14104130865348599</v>
      </c>
      <c r="I15" s="4">
        <f t="shared" ref="I15:I60" si="1">IF(H15="NaN",0,H15*2)</f>
        <v>0.28208261730697198</v>
      </c>
      <c r="J15" s="1">
        <v>0.14104130865348599</v>
      </c>
      <c r="K15" s="1" t="s">
        <v>2</v>
      </c>
      <c r="L15" s="1" t="s">
        <v>6</v>
      </c>
    </row>
    <row r="16" spans="1:12" ht="48" x14ac:dyDescent="0.2">
      <c r="A16" s="1" t="s">
        <v>32</v>
      </c>
      <c r="B16" s="1" t="s">
        <v>33</v>
      </c>
      <c r="C16" s="1" t="s">
        <v>131</v>
      </c>
      <c r="D16" s="1">
        <v>18</v>
      </c>
      <c r="E16" s="1">
        <v>450</v>
      </c>
      <c r="F16" s="1">
        <v>450</v>
      </c>
      <c r="G16" s="1" t="s">
        <v>2</v>
      </c>
      <c r="H16" s="4">
        <v>0.28536152863783998</v>
      </c>
      <c r="I16" s="4">
        <f t="shared" si="1"/>
        <v>0.57072305727567996</v>
      </c>
      <c r="J16" s="1">
        <v>0.28536152863783998</v>
      </c>
      <c r="K16" s="1" t="s">
        <v>2</v>
      </c>
      <c r="L16" s="1" t="s">
        <v>3</v>
      </c>
    </row>
    <row r="17" spans="1:12" ht="48" x14ac:dyDescent="0.2">
      <c r="A17" s="1" t="s">
        <v>34</v>
      </c>
      <c r="B17" s="1" t="s">
        <v>35</v>
      </c>
      <c r="C17" s="1" t="s">
        <v>131</v>
      </c>
      <c r="D17" s="1">
        <v>19</v>
      </c>
      <c r="E17" s="1">
        <v>498</v>
      </c>
      <c r="F17" s="1">
        <v>498</v>
      </c>
      <c r="G17" s="1" t="s">
        <v>2</v>
      </c>
      <c r="H17" s="4">
        <v>0.44192543167689802</v>
      </c>
      <c r="I17" s="4">
        <f t="shared" si="1"/>
        <v>0.88385086335379603</v>
      </c>
      <c r="J17" s="1">
        <v>0.44192543167689802</v>
      </c>
      <c r="K17" s="1" t="s">
        <v>2</v>
      </c>
      <c r="L17" s="1" t="s">
        <v>3</v>
      </c>
    </row>
    <row r="18" spans="1:12" ht="48" x14ac:dyDescent="0.2">
      <c r="A18" s="1" t="s">
        <v>36</v>
      </c>
      <c r="B18" s="1" t="s">
        <v>37</v>
      </c>
      <c r="C18" s="1" t="s">
        <v>131</v>
      </c>
      <c r="D18" s="1">
        <v>20</v>
      </c>
      <c r="E18" s="1">
        <v>467</v>
      </c>
      <c r="F18" s="1">
        <v>467</v>
      </c>
      <c r="G18" s="1" t="s">
        <v>2</v>
      </c>
      <c r="H18" s="4">
        <v>0.34089246110944399</v>
      </c>
      <c r="I18" s="4">
        <f t="shared" si="1"/>
        <v>0.68178492221888798</v>
      </c>
      <c r="J18" s="1">
        <v>0.34089246110944399</v>
      </c>
      <c r="K18" s="1" t="s">
        <v>2</v>
      </c>
      <c r="L18" s="1" t="s">
        <v>3</v>
      </c>
    </row>
    <row r="19" spans="1:12" ht="48" x14ac:dyDescent="0.2">
      <c r="A19" s="1" t="s">
        <v>38</v>
      </c>
      <c r="B19" s="1" t="s">
        <v>39</v>
      </c>
      <c r="C19" s="1" t="s">
        <v>131</v>
      </c>
      <c r="D19" s="1">
        <v>21</v>
      </c>
      <c r="E19" s="1">
        <v>465</v>
      </c>
      <c r="F19" s="1">
        <v>465</v>
      </c>
      <c r="G19" s="1" t="s">
        <v>2</v>
      </c>
      <c r="H19" s="4">
        <v>0.33436452781049097</v>
      </c>
      <c r="I19" s="4">
        <f t="shared" si="1"/>
        <v>0.66872905562098195</v>
      </c>
      <c r="J19" s="1">
        <v>0.33436452781049097</v>
      </c>
      <c r="K19" s="1" t="s">
        <v>2</v>
      </c>
      <c r="L19" s="1" t="s">
        <v>3</v>
      </c>
    </row>
    <row r="20" spans="1:12" ht="48" x14ac:dyDescent="0.2">
      <c r="A20" s="1" t="s">
        <v>40</v>
      </c>
      <c r="B20" s="1" t="s">
        <v>41</v>
      </c>
      <c r="C20" s="1" t="s">
        <v>131</v>
      </c>
      <c r="D20" s="1">
        <v>22</v>
      </c>
      <c r="E20" s="1">
        <v>379</v>
      </c>
      <c r="F20" s="1">
        <v>379</v>
      </c>
      <c r="G20" s="1" t="s">
        <v>2</v>
      </c>
      <c r="H20" s="4">
        <v>5.1742483746431901E-2</v>
      </c>
      <c r="I20" s="4">
        <f t="shared" si="1"/>
        <v>0.1034849674928638</v>
      </c>
      <c r="J20" s="1">
        <v>5.1742483746431901E-2</v>
      </c>
      <c r="K20" s="1" t="s">
        <v>2</v>
      </c>
      <c r="L20" s="1" t="s">
        <v>6</v>
      </c>
    </row>
    <row r="21" spans="1:12" ht="48" x14ac:dyDescent="0.2">
      <c r="A21" s="1" t="s">
        <v>42</v>
      </c>
      <c r="B21" s="1" t="s">
        <v>43</v>
      </c>
      <c r="C21" s="1" t="s">
        <v>131</v>
      </c>
      <c r="D21" s="1">
        <v>23</v>
      </c>
      <c r="E21" s="1">
        <v>424</v>
      </c>
      <c r="F21" s="1">
        <v>424</v>
      </c>
      <c r="G21" s="1" t="s">
        <v>2</v>
      </c>
      <c r="H21" s="4">
        <v>0.20020724888515901</v>
      </c>
      <c r="I21" s="4">
        <f t="shared" si="1"/>
        <v>0.40041449777031801</v>
      </c>
      <c r="J21" s="1">
        <v>0.20020724888515901</v>
      </c>
      <c r="K21" s="1" t="s">
        <v>2</v>
      </c>
      <c r="L21" s="1" t="s">
        <v>6</v>
      </c>
    </row>
    <row r="22" spans="1:12" ht="48" x14ac:dyDescent="0.2">
      <c r="A22" s="1" t="s">
        <v>44</v>
      </c>
      <c r="B22" s="1" t="s">
        <v>45</v>
      </c>
      <c r="C22" s="1" t="s">
        <v>131</v>
      </c>
      <c r="D22" s="1">
        <v>24</v>
      </c>
      <c r="E22" s="1">
        <v>422</v>
      </c>
      <c r="F22" s="1">
        <v>422</v>
      </c>
      <c r="G22" s="1" t="s">
        <v>2</v>
      </c>
      <c r="H22" s="4">
        <v>0.193643220302258</v>
      </c>
      <c r="I22" s="4">
        <f t="shared" si="1"/>
        <v>0.387286440604516</v>
      </c>
      <c r="J22" s="1">
        <v>0.193643220302258</v>
      </c>
      <c r="K22" s="1" t="s">
        <v>2</v>
      </c>
      <c r="L22" s="1" t="s">
        <v>6</v>
      </c>
    </row>
    <row r="23" spans="1:12" ht="48" x14ac:dyDescent="0.2">
      <c r="A23" s="1" t="s">
        <v>46</v>
      </c>
      <c r="B23" s="1" t="s">
        <v>47</v>
      </c>
      <c r="C23" s="1" t="s">
        <v>131</v>
      </c>
      <c r="D23" s="1">
        <v>25</v>
      </c>
      <c r="E23" s="1">
        <v>350</v>
      </c>
      <c r="F23" s="1">
        <v>350</v>
      </c>
      <c r="G23" s="1" t="s">
        <v>2</v>
      </c>
      <c r="H23" s="4" t="s">
        <v>2</v>
      </c>
      <c r="I23" s="4">
        <f>IF(H23="NaN",0,H23*2)</f>
        <v>0</v>
      </c>
      <c r="J23" s="1" t="s">
        <v>2</v>
      </c>
      <c r="K23" s="1" t="s">
        <v>2</v>
      </c>
      <c r="L23" s="1" t="s">
        <v>19</v>
      </c>
    </row>
    <row r="24" spans="1:12" ht="48" x14ac:dyDescent="0.2">
      <c r="A24" s="1" t="s">
        <v>48</v>
      </c>
      <c r="B24" s="1" t="s">
        <v>49</v>
      </c>
      <c r="C24" s="1" t="s">
        <v>131</v>
      </c>
      <c r="D24" s="1">
        <v>26</v>
      </c>
      <c r="E24" s="1">
        <v>374</v>
      </c>
      <c r="F24" s="1">
        <v>374</v>
      </c>
      <c r="G24" s="1" t="s">
        <v>2</v>
      </c>
      <c r="H24" s="4">
        <v>3.5075600109833897E-2</v>
      </c>
      <c r="I24" s="4">
        <f t="shared" si="1"/>
        <v>7.0151200219667795E-2</v>
      </c>
      <c r="J24" s="1">
        <v>3.5075600109833897E-2</v>
      </c>
      <c r="K24" s="1" t="s">
        <v>2</v>
      </c>
      <c r="L24" s="1" t="s">
        <v>6</v>
      </c>
    </row>
    <row r="25" spans="1:12" ht="48" x14ac:dyDescent="0.2">
      <c r="A25" s="1" t="s">
        <v>50</v>
      </c>
      <c r="B25" s="1" t="s">
        <v>51</v>
      </c>
      <c r="C25" s="1" t="s">
        <v>131</v>
      </c>
      <c r="D25" s="1">
        <v>27</v>
      </c>
      <c r="E25" s="1">
        <v>409</v>
      </c>
      <c r="F25" s="1">
        <v>409</v>
      </c>
      <c r="G25" s="1" t="s">
        <v>2</v>
      </c>
      <c r="H25" s="4">
        <v>0.15091755801533699</v>
      </c>
      <c r="I25" s="4">
        <f t="shared" si="1"/>
        <v>0.30183511603067398</v>
      </c>
      <c r="J25" s="1">
        <v>0.15091755801533699</v>
      </c>
      <c r="K25" s="1" t="s">
        <v>2</v>
      </c>
      <c r="L25" s="1" t="s">
        <v>6</v>
      </c>
    </row>
    <row r="26" spans="1:12" ht="48" x14ac:dyDescent="0.2">
      <c r="A26" s="1" t="s">
        <v>52</v>
      </c>
      <c r="B26" s="1" t="s">
        <v>53</v>
      </c>
      <c r="C26" s="1" t="s">
        <v>131</v>
      </c>
      <c r="D26" s="1">
        <v>28</v>
      </c>
      <c r="E26" s="1">
        <v>424</v>
      </c>
      <c r="F26" s="1">
        <v>424</v>
      </c>
      <c r="G26" s="1" t="s">
        <v>2</v>
      </c>
      <c r="H26" s="4">
        <v>0.20020724888515901</v>
      </c>
      <c r="I26" s="4">
        <f>IF(H26="NaN",0,H26*4)</f>
        <v>0.80082899554063602</v>
      </c>
      <c r="J26" s="1">
        <v>0.20020724888515901</v>
      </c>
      <c r="K26" s="1" t="s">
        <v>2</v>
      </c>
      <c r="L26" s="1" t="s">
        <v>6</v>
      </c>
    </row>
    <row r="27" spans="1:12" ht="48" x14ac:dyDescent="0.2">
      <c r="A27" s="1" t="s">
        <v>54</v>
      </c>
      <c r="B27" s="1" t="s">
        <v>55</v>
      </c>
      <c r="C27" s="1" t="s">
        <v>131</v>
      </c>
      <c r="D27" s="1">
        <v>29</v>
      </c>
      <c r="E27" s="1">
        <v>423</v>
      </c>
      <c r="F27" s="1">
        <v>423</v>
      </c>
      <c r="G27" s="1" t="s">
        <v>2</v>
      </c>
      <c r="H27" s="4">
        <v>0.19692551434070499</v>
      </c>
      <c r="I27" s="4">
        <f t="shared" si="1"/>
        <v>0.39385102868140998</v>
      </c>
      <c r="J27" s="1">
        <v>0.19692551434070499</v>
      </c>
      <c r="K27" s="1" t="s">
        <v>2</v>
      </c>
      <c r="L27" s="1" t="s">
        <v>6</v>
      </c>
    </row>
    <row r="28" spans="1:12" ht="48" x14ac:dyDescent="0.2">
      <c r="A28" s="1" t="s">
        <v>56</v>
      </c>
      <c r="B28" s="1" t="s">
        <v>57</v>
      </c>
      <c r="C28" s="1" t="s">
        <v>131</v>
      </c>
      <c r="D28" s="1">
        <v>30</v>
      </c>
      <c r="E28" s="1">
        <v>430</v>
      </c>
      <c r="F28" s="1">
        <v>430</v>
      </c>
      <c r="G28" s="1" t="s">
        <v>2</v>
      </c>
      <c r="H28" s="4">
        <v>0.21988641078016499</v>
      </c>
      <c r="I28" s="4">
        <f t="shared" si="1"/>
        <v>0.43977282156032999</v>
      </c>
      <c r="J28" s="1">
        <v>0.21988641078016499</v>
      </c>
      <c r="K28" s="1" t="s">
        <v>2</v>
      </c>
      <c r="L28" s="1" t="s">
        <v>6</v>
      </c>
    </row>
    <row r="29" spans="1:12" ht="48" x14ac:dyDescent="0.2">
      <c r="A29" s="1" t="s">
        <v>58</v>
      </c>
      <c r="B29" s="1" t="s">
        <v>59</v>
      </c>
      <c r="C29" s="1" t="s">
        <v>131</v>
      </c>
      <c r="D29" s="1">
        <v>31</v>
      </c>
      <c r="E29" s="1">
        <v>428</v>
      </c>
      <c r="F29" s="1">
        <v>428</v>
      </c>
      <c r="G29" s="1" t="s">
        <v>2</v>
      </c>
      <c r="H29" s="4">
        <v>0.21332877507544201</v>
      </c>
      <c r="I29" s="4">
        <f t="shared" si="1"/>
        <v>0.42665755015088402</v>
      </c>
      <c r="J29" s="1">
        <v>0.21332877507544201</v>
      </c>
      <c r="K29" s="1" t="s">
        <v>2</v>
      </c>
      <c r="L29" s="1" t="s">
        <v>6</v>
      </c>
    </row>
    <row r="30" spans="1:12" ht="48" x14ac:dyDescent="0.2">
      <c r="A30" s="1" t="s">
        <v>60</v>
      </c>
      <c r="B30" s="1" t="s">
        <v>61</v>
      </c>
      <c r="C30" s="1" t="s">
        <v>131</v>
      </c>
      <c r="D30" s="1">
        <v>32</v>
      </c>
      <c r="E30" s="1">
        <v>416</v>
      </c>
      <c r="F30" s="1">
        <v>416</v>
      </c>
      <c r="G30" s="1" t="s">
        <v>2</v>
      </c>
      <c r="H30" s="4">
        <v>0.17393714072722399</v>
      </c>
      <c r="I30" s="4">
        <f t="shared" si="1"/>
        <v>0.34787428145444799</v>
      </c>
      <c r="J30" s="1">
        <v>0.17393714072722399</v>
      </c>
      <c r="K30" s="1" t="s">
        <v>2</v>
      </c>
      <c r="L30" s="1" t="s">
        <v>6</v>
      </c>
    </row>
    <row r="31" spans="1:12" ht="48" x14ac:dyDescent="0.2">
      <c r="A31" s="1" t="s">
        <v>62</v>
      </c>
      <c r="B31" s="1" t="s">
        <v>63</v>
      </c>
      <c r="C31" s="1" t="s">
        <v>132</v>
      </c>
      <c r="D31" s="1">
        <v>3</v>
      </c>
      <c r="E31" s="1">
        <v>481</v>
      </c>
      <c r="F31" s="1">
        <v>481</v>
      </c>
      <c r="G31" s="1" t="s">
        <v>2</v>
      </c>
      <c r="H31" s="4">
        <v>0.38655351391519199</v>
      </c>
      <c r="I31" s="4">
        <f t="shared" si="1"/>
        <v>0.77310702783038399</v>
      </c>
      <c r="J31" s="1">
        <v>0.38655351391519199</v>
      </c>
      <c r="K31" s="1" t="s">
        <v>2</v>
      </c>
      <c r="L31" s="1" t="s">
        <v>3</v>
      </c>
    </row>
    <row r="32" spans="1:12" ht="48" x14ac:dyDescent="0.2">
      <c r="A32" s="1" t="s">
        <v>64</v>
      </c>
      <c r="B32" s="1" t="s">
        <v>65</v>
      </c>
      <c r="C32" s="1" t="s">
        <v>132</v>
      </c>
      <c r="D32" s="1">
        <v>4</v>
      </c>
      <c r="E32" s="1">
        <v>444</v>
      </c>
      <c r="F32" s="1">
        <v>444</v>
      </c>
      <c r="G32" s="1" t="s">
        <v>2</v>
      </c>
      <c r="H32" s="4">
        <v>0.26573695262596297</v>
      </c>
      <c r="I32" s="4">
        <f t="shared" si="1"/>
        <v>0.53147390525192595</v>
      </c>
      <c r="J32" s="1">
        <v>0.26573695262596297</v>
      </c>
      <c r="K32" s="1" t="s">
        <v>2</v>
      </c>
      <c r="L32" s="1" t="s">
        <v>3</v>
      </c>
    </row>
    <row r="33" spans="1:12" ht="48" x14ac:dyDescent="0.2">
      <c r="A33" s="1" t="s">
        <v>66</v>
      </c>
      <c r="B33" s="1" t="s">
        <v>67</v>
      </c>
      <c r="C33" s="1" t="s">
        <v>132</v>
      </c>
      <c r="D33" s="1">
        <v>5</v>
      </c>
      <c r="E33" s="1">
        <v>507</v>
      </c>
      <c r="F33" s="1">
        <v>507</v>
      </c>
      <c r="G33" s="1" t="s">
        <v>2</v>
      </c>
      <c r="H33" s="4">
        <v>0.471210652600629</v>
      </c>
      <c r="I33" s="4">
        <f t="shared" si="1"/>
        <v>0.942421305201258</v>
      </c>
      <c r="J33" s="1">
        <v>0.471210652600629</v>
      </c>
      <c r="K33" s="1" t="s">
        <v>2</v>
      </c>
      <c r="L33" s="1" t="s">
        <v>3</v>
      </c>
    </row>
    <row r="34" spans="1:12" ht="48" x14ac:dyDescent="0.2">
      <c r="A34" s="1" t="s">
        <v>68</v>
      </c>
      <c r="B34" s="1" t="s">
        <v>69</v>
      </c>
      <c r="C34" s="1" t="s">
        <v>132</v>
      </c>
      <c r="D34" s="1">
        <v>6</v>
      </c>
      <c r="E34" s="1">
        <v>439</v>
      </c>
      <c r="F34" s="1">
        <v>439</v>
      </c>
      <c r="G34" s="1" t="s">
        <v>2</v>
      </c>
      <c r="H34" s="4">
        <v>0.24937184686559999</v>
      </c>
      <c r="I34" s="4">
        <f t="shared" si="1"/>
        <v>0.49874369373119998</v>
      </c>
      <c r="J34" s="1">
        <v>0.24937184686559999</v>
      </c>
      <c r="K34" s="1" t="s">
        <v>2</v>
      </c>
      <c r="L34" s="1" t="s">
        <v>3</v>
      </c>
    </row>
    <row r="35" spans="1:12" ht="48" x14ac:dyDescent="0.2">
      <c r="A35" s="1" t="s">
        <v>70</v>
      </c>
      <c r="B35" s="1" t="s">
        <v>71</v>
      </c>
      <c r="C35" s="1" t="s">
        <v>132</v>
      </c>
      <c r="D35" s="1">
        <v>7</v>
      </c>
      <c r="E35" s="1">
        <v>433</v>
      </c>
      <c r="F35" s="1">
        <v>433</v>
      </c>
      <c r="G35" s="1" t="s">
        <v>2</v>
      </c>
      <c r="H35" s="4">
        <v>0.22971913327997401</v>
      </c>
      <c r="I35" s="4">
        <f t="shared" si="1"/>
        <v>0.45943826655994802</v>
      </c>
      <c r="J35" s="1">
        <v>0.22971913327997401</v>
      </c>
      <c r="K35" s="1" t="s">
        <v>2</v>
      </c>
      <c r="L35" s="1" t="s">
        <v>6</v>
      </c>
    </row>
    <row r="36" spans="1:12" ht="48" x14ac:dyDescent="0.2">
      <c r="A36" s="1" t="s">
        <v>72</v>
      </c>
      <c r="B36" s="1" t="s">
        <v>73</v>
      </c>
      <c r="C36" s="1" t="s">
        <v>132</v>
      </c>
      <c r="D36" s="1">
        <v>8</v>
      </c>
      <c r="E36" s="1">
        <v>427</v>
      </c>
      <c r="F36" s="1">
        <v>427</v>
      </c>
      <c r="G36" s="1" t="s">
        <v>2</v>
      </c>
      <c r="H36" s="4">
        <v>0.21004918776770701</v>
      </c>
      <c r="I36" s="4">
        <f t="shared" si="1"/>
        <v>0.42009837553541401</v>
      </c>
      <c r="J36" s="1">
        <v>0.21004918776770701</v>
      </c>
      <c r="K36" s="1" t="s">
        <v>2</v>
      </c>
      <c r="L36" s="1" t="s">
        <v>6</v>
      </c>
    </row>
    <row r="37" spans="1:12" ht="48" x14ac:dyDescent="0.2">
      <c r="A37" s="1" t="s">
        <v>74</v>
      </c>
      <c r="B37" s="1" t="s">
        <v>75</v>
      </c>
      <c r="C37" s="1" t="s">
        <v>132</v>
      </c>
      <c r="D37" s="1">
        <v>9</v>
      </c>
      <c r="E37" s="1">
        <v>443</v>
      </c>
      <c r="F37" s="1">
        <v>443</v>
      </c>
      <c r="G37" s="1" t="s">
        <v>2</v>
      </c>
      <c r="H37" s="4">
        <v>0.26246477697231602</v>
      </c>
      <c r="I37" s="4">
        <f t="shared" si="1"/>
        <v>0.52492955394463203</v>
      </c>
      <c r="J37" s="1">
        <v>0.26246477697231602</v>
      </c>
      <c r="K37" s="1" t="s">
        <v>2</v>
      </c>
      <c r="L37" s="1" t="s">
        <v>3</v>
      </c>
    </row>
    <row r="38" spans="1:12" ht="48" x14ac:dyDescent="0.2">
      <c r="A38" s="1" t="s">
        <v>76</v>
      </c>
      <c r="B38" s="1" t="s">
        <v>77</v>
      </c>
      <c r="C38" s="1" t="s">
        <v>132</v>
      </c>
      <c r="D38" s="1">
        <v>10</v>
      </c>
      <c r="E38" s="1">
        <v>432</v>
      </c>
      <c r="F38" s="1">
        <v>432</v>
      </c>
      <c r="G38" s="1" t="s">
        <v>2</v>
      </c>
      <c r="H38" s="4">
        <v>0.22644204680889601</v>
      </c>
      <c r="I38" s="4">
        <f t="shared" si="1"/>
        <v>0.45288409361779203</v>
      </c>
      <c r="J38" s="1">
        <v>0.22644204680889601</v>
      </c>
      <c r="K38" s="1" t="s">
        <v>2</v>
      </c>
      <c r="L38" s="1" t="s">
        <v>6</v>
      </c>
    </row>
    <row r="39" spans="1:12" ht="48" x14ac:dyDescent="0.2">
      <c r="A39" s="1" t="s">
        <v>78</v>
      </c>
      <c r="B39" s="1" t="s">
        <v>79</v>
      </c>
      <c r="C39" s="1" t="s">
        <v>132</v>
      </c>
      <c r="D39" s="1">
        <v>11</v>
      </c>
      <c r="E39" s="1">
        <v>449</v>
      </c>
      <c r="F39" s="1">
        <v>449</v>
      </c>
      <c r="G39" s="1" t="s">
        <v>2</v>
      </c>
      <c r="H39" s="4">
        <v>0.28209175083975302</v>
      </c>
      <c r="I39" s="4">
        <f t="shared" si="1"/>
        <v>0.56418350167950604</v>
      </c>
      <c r="J39" s="1">
        <v>0.28209175083975302</v>
      </c>
      <c r="K39" s="1" t="s">
        <v>2</v>
      </c>
      <c r="L39" s="1" t="s">
        <v>3</v>
      </c>
    </row>
    <row r="40" spans="1:12" ht="48" x14ac:dyDescent="0.2">
      <c r="A40" s="1" t="s">
        <v>80</v>
      </c>
      <c r="B40" s="1" t="s">
        <v>81</v>
      </c>
      <c r="C40" s="1" t="s">
        <v>132</v>
      </c>
      <c r="D40" s="1">
        <v>12</v>
      </c>
      <c r="E40" s="1">
        <v>453</v>
      </c>
      <c r="F40" s="1">
        <v>453</v>
      </c>
      <c r="G40" s="1" t="s">
        <v>2</v>
      </c>
      <c r="H40" s="4">
        <v>0.29516858045287298</v>
      </c>
      <c r="I40" s="4">
        <f t="shared" si="1"/>
        <v>0.59033716090574595</v>
      </c>
      <c r="J40" s="1">
        <v>0.29516858045287298</v>
      </c>
      <c r="K40" s="1" t="s">
        <v>2</v>
      </c>
      <c r="L40" s="1" t="s">
        <v>3</v>
      </c>
    </row>
    <row r="41" spans="1:12" ht="48" x14ac:dyDescent="0.2">
      <c r="A41" s="1" t="s">
        <v>82</v>
      </c>
      <c r="B41" s="1" t="s">
        <v>83</v>
      </c>
      <c r="C41" s="1" t="s">
        <v>132</v>
      </c>
      <c r="D41" s="1">
        <v>13</v>
      </c>
      <c r="E41" s="1">
        <v>490</v>
      </c>
      <c r="F41" s="1">
        <v>490</v>
      </c>
      <c r="G41" s="1" t="s">
        <v>2</v>
      </c>
      <c r="H41" s="4">
        <v>0.41587748218583898</v>
      </c>
      <c r="I41" s="4">
        <f t="shared" si="1"/>
        <v>0.83175496437167795</v>
      </c>
      <c r="J41" s="1">
        <v>0.41587748218583898</v>
      </c>
      <c r="K41" s="1" t="s">
        <v>2</v>
      </c>
      <c r="L41" s="1" t="s">
        <v>3</v>
      </c>
    </row>
    <row r="42" spans="1:12" ht="48" x14ac:dyDescent="0.2">
      <c r="A42" s="1" t="s">
        <v>84</v>
      </c>
      <c r="B42" s="1" t="s">
        <v>85</v>
      </c>
      <c r="C42" s="1" t="s">
        <v>132</v>
      </c>
      <c r="D42" s="1">
        <v>14</v>
      </c>
      <c r="E42" s="1">
        <v>459</v>
      </c>
      <c r="F42" s="1">
        <v>459</v>
      </c>
      <c r="G42" s="1" t="s">
        <v>2</v>
      </c>
      <c r="H42" s="4">
        <v>0.314772797724992</v>
      </c>
      <c r="I42" s="4">
        <f t="shared" si="1"/>
        <v>0.62954559544998401</v>
      </c>
      <c r="J42" s="1">
        <v>0.314772797724992</v>
      </c>
      <c r="K42" s="1" t="s">
        <v>2</v>
      </c>
      <c r="L42" s="1" t="s">
        <v>3</v>
      </c>
    </row>
    <row r="43" spans="1:12" ht="48" x14ac:dyDescent="0.2">
      <c r="A43" s="1" t="s">
        <v>86</v>
      </c>
      <c r="B43" s="1" t="s">
        <v>87</v>
      </c>
      <c r="C43" s="1" t="s">
        <v>132</v>
      </c>
      <c r="D43" s="1">
        <v>15</v>
      </c>
      <c r="E43" s="1">
        <v>460</v>
      </c>
      <c r="F43" s="1">
        <v>460</v>
      </c>
      <c r="G43" s="1" t="s">
        <v>2</v>
      </c>
      <c r="H43" s="4">
        <v>0.31803893197011601</v>
      </c>
      <c r="I43" s="4">
        <f t="shared" si="1"/>
        <v>0.63607786394023202</v>
      </c>
      <c r="J43" s="1">
        <v>0.31803893197011601</v>
      </c>
      <c r="K43" s="1" t="s">
        <v>2</v>
      </c>
      <c r="L43" s="1" t="s">
        <v>3</v>
      </c>
    </row>
    <row r="44" spans="1:12" ht="48" x14ac:dyDescent="0.2">
      <c r="A44" s="1" t="s">
        <v>88</v>
      </c>
      <c r="B44" s="1" t="s">
        <v>89</v>
      </c>
      <c r="C44" s="1" t="s">
        <v>132</v>
      </c>
      <c r="D44" s="1">
        <v>16</v>
      </c>
      <c r="E44" s="1">
        <v>432</v>
      </c>
      <c r="F44" s="1">
        <v>432</v>
      </c>
      <c r="G44" s="1" t="s">
        <v>2</v>
      </c>
      <c r="H44" s="4">
        <v>0.22644204680889601</v>
      </c>
      <c r="I44" s="4">
        <f t="shared" si="1"/>
        <v>0.45288409361779203</v>
      </c>
      <c r="J44" s="1">
        <v>0.22644204680889601</v>
      </c>
      <c r="K44" s="1" t="s">
        <v>2</v>
      </c>
      <c r="L44" s="1" t="s">
        <v>6</v>
      </c>
    </row>
    <row r="45" spans="1:12" ht="48" x14ac:dyDescent="0.2">
      <c r="A45" s="1" t="s">
        <v>90</v>
      </c>
      <c r="B45" s="1" t="s">
        <v>91</v>
      </c>
      <c r="C45" s="1" t="s">
        <v>132</v>
      </c>
      <c r="D45" s="1">
        <v>17</v>
      </c>
      <c r="E45" s="1">
        <v>532</v>
      </c>
      <c r="F45" s="1">
        <v>532</v>
      </c>
      <c r="G45" s="1" t="s">
        <v>2</v>
      </c>
      <c r="H45" s="4">
        <v>0.55246420550849595</v>
      </c>
      <c r="I45" s="4">
        <f t="shared" si="1"/>
        <v>1.1049284110169919</v>
      </c>
      <c r="J45" s="1">
        <v>0.55246420550849595</v>
      </c>
      <c r="K45" s="1" t="s">
        <v>2</v>
      </c>
      <c r="L45" s="1" t="s">
        <v>3</v>
      </c>
    </row>
    <row r="46" spans="1:12" ht="48" x14ac:dyDescent="0.2">
      <c r="A46" s="1" t="s">
        <v>92</v>
      </c>
      <c r="B46" s="1" t="s">
        <v>93</v>
      </c>
      <c r="C46" s="1" t="s">
        <v>132</v>
      </c>
      <c r="D46" s="1">
        <v>18</v>
      </c>
      <c r="E46" s="1">
        <v>500</v>
      </c>
      <c r="F46" s="1">
        <v>500</v>
      </c>
      <c r="G46" s="1" t="s">
        <v>2</v>
      </c>
      <c r="H46" s="4">
        <v>0.44843492917414401</v>
      </c>
      <c r="I46" s="4">
        <f t="shared" si="1"/>
        <v>0.89686985834828803</v>
      </c>
      <c r="J46" s="1">
        <v>0.44843492917414401</v>
      </c>
      <c r="K46" s="1" t="s">
        <v>2</v>
      </c>
      <c r="L46" s="1" t="s">
        <v>3</v>
      </c>
    </row>
    <row r="47" spans="1:12" ht="48" x14ac:dyDescent="0.2">
      <c r="A47" s="1" t="s">
        <v>94</v>
      </c>
      <c r="B47" s="1" t="s">
        <v>95</v>
      </c>
      <c r="C47" s="1" t="s">
        <v>132</v>
      </c>
      <c r="D47" s="1">
        <v>19</v>
      </c>
      <c r="E47" s="1">
        <v>537</v>
      </c>
      <c r="F47" s="1">
        <v>537</v>
      </c>
      <c r="G47" s="1" t="s">
        <v>2</v>
      </c>
      <c r="H47" s="4">
        <v>0.56869963816602698</v>
      </c>
      <c r="I47" s="4">
        <f t="shared" si="1"/>
        <v>1.137399276332054</v>
      </c>
      <c r="J47" s="1">
        <v>0.56869963816602698</v>
      </c>
      <c r="K47" s="1" t="s">
        <v>2</v>
      </c>
      <c r="L47" s="1" t="s">
        <v>3</v>
      </c>
    </row>
    <row r="48" spans="1:12" ht="48" x14ac:dyDescent="0.2">
      <c r="A48" s="1" t="s">
        <v>96</v>
      </c>
      <c r="B48" s="1" t="s">
        <v>97</v>
      </c>
      <c r="C48" s="1" t="s">
        <v>132</v>
      </c>
      <c r="D48" s="1">
        <v>20</v>
      </c>
      <c r="E48" s="1">
        <v>541</v>
      </c>
      <c r="F48" s="1">
        <v>541</v>
      </c>
      <c r="G48" s="1" t="s">
        <v>2</v>
      </c>
      <c r="H48" s="4">
        <v>0.58168456548249003</v>
      </c>
      <c r="I48" s="4">
        <f t="shared" si="1"/>
        <v>1.1633691309649801</v>
      </c>
      <c r="J48" s="1">
        <v>0.58168456548249003</v>
      </c>
      <c r="K48" s="1" t="s">
        <v>2</v>
      </c>
      <c r="L48" s="1" t="s">
        <v>3</v>
      </c>
    </row>
    <row r="49" spans="1:12" ht="48" x14ac:dyDescent="0.2">
      <c r="A49" s="1" t="s">
        <v>98</v>
      </c>
      <c r="B49" s="1" t="s">
        <v>99</v>
      </c>
      <c r="C49" s="1" t="s">
        <v>132</v>
      </c>
      <c r="D49" s="1">
        <v>21</v>
      </c>
      <c r="E49" s="1">
        <v>524</v>
      </c>
      <c r="F49" s="1">
        <v>524</v>
      </c>
      <c r="G49" s="1" t="s">
        <v>2</v>
      </c>
      <c r="H49" s="4">
        <v>0.52647729772748797</v>
      </c>
      <c r="I49" s="4">
        <f t="shared" si="1"/>
        <v>1.0529545954549759</v>
      </c>
      <c r="J49" s="1">
        <v>0.52647729772748797</v>
      </c>
      <c r="K49" s="1" t="s">
        <v>2</v>
      </c>
      <c r="L49" s="1" t="s">
        <v>3</v>
      </c>
    </row>
    <row r="50" spans="1:12" ht="48" x14ac:dyDescent="0.2">
      <c r="A50" s="1" t="s">
        <v>100</v>
      </c>
      <c r="B50" s="1" t="s">
        <v>101</v>
      </c>
      <c r="C50" s="1" t="s">
        <v>132</v>
      </c>
      <c r="D50" s="1">
        <v>22</v>
      </c>
      <c r="E50" s="1">
        <v>496</v>
      </c>
      <c r="F50" s="1">
        <v>496</v>
      </c>
      <c r="G50" s="1" t="s">
        <v>2</v>
      </c>
      <c r="H50" s="4">
        <v>0.43541495343251901</v>
      </c>
      <c r="I50" s="4">
        <f t="shared" si="1"/>
        <v>0.87082990686503803</v>
      </c>
      <c r="J50" s="1">
        <v>0.43541495343251901</v>
      </c>
      <c r="K50" s="1" t="s">
        <v>2</v>
      </c>
      <c r="L50" s="1" t="s">
        <v>3</v>
      </c>
    </row>
    <row r="51" spans="1:12" ht="48" x14ac:dyDescent="0.2">
      <c r="A51" s="1" t="s">
        <v>102</v>
      </c>
      <c r="B51" s="1" t="s">
        <v>103</v>
      </c>
      <c r="C51" s="1" t="s">
        <v>132</v>
      </c>
      <c r="D51" s="1">
        <v>23</v>
      </c>
      <c r="E51" s="1">
        <v>502</v>
      </c>
      <c r="F51" s="1">
        <v>502</v>
      </c>
      <c r="G51" s="1" t="s">
        <v>2</v>
      </c>
      <c r="H51" s="4">
        <v>0.454943460303323</v>
      </c>
      <c r="I51" s="4">
        <f t="shared" si="1"/>
        <v>0.909886920606646</v>
      </c>
      <c r="J51" s="1">
        <v>0.454943460303323</v>
      </c>
      <c r="K51" s="1" t="s">
        <v>2</v>
      </c>
      <c r="L51" s="1" t="s">
        <v>3</v>
      </c>
    </row>
    <row r="52" spans="1:12" ht="48" x14ac:dyDescent="0.2">
      <c r="A52" s="1" t="s">
        <v>104</v>
      </c>
      <c r="B52" s="1" t="s">
        <v>105</v>
      </c>
      <c r="C52" s="1" t="s">
        <v>132</v>
      </c>
      <c r="D52" s="1">
        <v>24</v>
      </c>
      <c r="E52" s="1">
        <v>475</v>
      </c>
      <c r="F52" s="1">
        <v>475</v>
      </c>
      <c r="G52" s="1" t="s">
        <v>2</v>
      </c>
      <c r="H52" s="4">
        <v>0.36699165247597498</v>
      </c>
      <c r="I52" s="4">
        <f t="shared" si="1"/>
        <v>0.73398330495194997</v>
      </c>
      <c r="J52" s="1">
        <v>0.36699165247597498</v>
      </c>
      <c r="K52" s="1" t="s">
        <v>2</v>
      </c>
      <c r="L52" s="1" t="s">
        <v>3</v>
      </c>
    </row>
    <row r="53" spans="1:12" ht="48" x14ac:dyDescent="0.2">
      <c r="A53" s="1" t="s">
        <v>106</v>
      </c>
      <c r="B53" s="1" t="s">
        <v>107</v>
      </c>
      <c r="C53" s="1" t="s">
        <v>132</v>
      </c>
      <c r="D53" s="1">
        <v>25</v>
      </c>
      <c r="E53" s="1">
        <v>446</v>
      </c>
      <c r="F53" s="1">
        <v>446</v>
      </c>
      <c r="G53" s="1" t="s">
        <v>2</v>
      </c>
      <c r="H53" s="4">
        <v>0.27228007297977103</v>
      </c>
      <c r="I53" s="4">
        <f t="shared" si="1"/>
        <v>0.54456014595954205</v>
      </c>
      <c r="J53" s="1">
        <v>0.27228007297977103</v>
      </c>
      <c r="K53" s="1" t="s">
        <v>2</v>
      </c>
      <c r="L53" s="1" t="s">
        <v>3</v>
      </c>
    </row>
    <row r="54" spans="1:12" ht="48" x14ac:dyDescent="0.2">
      <c r="A54" s="1" t="s">
        <v>108</v>
      </c>
      <c r="B54" s="1" t="s">
        <v>109</v>
      </c>
      <c r="C54" s="1" t="s">
        <v>132</v>
      </c>
      <c r="D54" s="1">
        <v>26</v>
      </c>
      <c r="E54" s="1">
        <v>552</v>
      </c>
      <c r="F54" s="1">
        <v>552</v>
      </c>
      <c r="G54" s="1" t="s">
        <v>2</v>
      </c>
      <c r="H54" s="4">
        <v>0.61737803024932902</v>
      </c>
      <c r="I54" s="4">
        <f t="shared" si="1"/>
        <v>1.234756060498658</v>
      </c>
      <c r="J54" s="1">
        <v>0.61737803024932902</v>
      </c>
      <c r="K54" s="1" t="s">
        <v>2</v>
      </c>
      <c r="L54" s="1" t="s">
        <v>3</v>
      </c>
    </row>
    <row r="55" spans="1:12" ht="48" x14ac:dyDescent="0.2">
      <c r="A55" s="1" t="s">
        <v>110</v>
      </c>
      <c r="B55" s="1" t="s">
        <v>111</v>
      </c>
      <c r="C55" s="1" t="s">
        <v>132</v>
      </c>
      <c r="D55" s="1">
        <v>27</v>
      </c>
      <c r="E55" s="1">
        <v>457</v>
      </c>
      <c r="F55" s="1">
        <v>457</v>
      </c>
      <c r="G55" s="1" t="s">
        <v>2</v>
      </c>
      <c r="H55" s="4">
        <v>0.30823948580409499</v>
      </c>
      <c r="I55" s="4">
        <f t="shared" si="1"/>
        <v>0.61647897160818999</v>
      </c>
      <c r="J55" s="1">
        <v>0.30823948580409499</v>
      </c>
      <c r="K55" s="1" t="s">
        <v>2</v>
      </c>
      <c r="L55" s="1" t="s">
        <v>3</v>
      </c>
    </row>
    <row r="56" spans="1:12" ht="48" x14ac:dyDescent="0.2">
      <c r="A56" s="1" t="s">
        <v>112</v>
      </c>
      <c r="B56" s="1" t="s">
        <v>113</v>
      </c>
      <c r="C56" s="1" t="s">
        <v>132</v>
      </c>
      <c r="D56" s="1">
        <v>28</v>
      </c>
      <c r="E56" s="1">
        <v>465</v>
      </c>
      <c r="F56" s="1">
        <v>465</v>
      </c>
      <c r="G56" s="1" t="s">
        <v>2</v>
      </c>
      <c r="H56" s="4">
        <v>0.33436452781049097</v>
      </c>
      <c r="I56" s="4">
        <f t="shared" si="1"/>
        <v>0.66872905562098195</v>
      </c>
      <c r="J56" s="1">
        <v>0.33436452781049097</v>
      </c>
      <c r="K56" s="1" t="s">
        <v>2</v>
      </c>
      <c r="L56" s="1" t="s">
        <v>3</v>
      </c>
    </row>
    <row r="57" spans="1:12" ht="48" x14ac:dyDescent="0.2">
      <c r="A57" s="1" t="s">
        <v>114</v>
      </c>
      <c r="B57" s="1" t="s">
        <v>115</v>
      </c>
      <c r="C57" s="1" t="s">
        <v>132</v>
      </c>
      <c r="D57" s="1">
        <v>29</v>
      </c>
      <c r="E57" s="1">
        <v>480</v>
      </c>
      <c r="F57" s="1">
        <v>480</v>
      </c>
      <c r="G57" s="1" t="s">
        <v>2</v>
      </c>
      <c r="H57" s="4">
        <v>0.38329392086695402</v>
      </c>
      <c r="I57" s="4">
        <f t="shared" si="1"/>
        <v>0.76658784173390804</v>
      </c>
      <c r="J57" s="1">
        <v>0.38329392086695402</v>
      </c>
      <c r="K57" s="1" t="s">
        <v>2</v>
      </c>
      <c r="L57" s="1" t="s">
        <v>3</v>
      </c>
    </row>
    <row r="58" spans="1:12" ht="48" x14ac:dyDescent="0.2">
      <c r="A58" s="1" t="s">
        <v>116</v>
      </c>
      <c r="B58" s="1" t="s">
        <v>117</v>
      </c>
      <c r="C58" s="1" t="s">
        <v>132</v>
      </c>
      <c r="D58" s="1">
        <v>30</v>
      </c>
      <c r="E58" s="1">
        <v>574</v>
      </c>
      <c r="F58" s="1">
        <v>574</v>
      </c>
      <c r="G58" s="1" t="s">
        <v>2</v>
      </c>
      <c r="H58" s="4">
        <v>0.68870282970888697</v>
      </c>
      <c r="I58" s="4">
        <f t="shared" si="1"/>
        <v>1.3774056594177739</v>
      </c>
      <c r="J58" s="1">
        <v>0.68870282970888697</v>
      </c>
      <c r="K58" s="1" t="s">
        <v>2</v>
      </c>
      <c r="L58" s="1" t="s">
        <v>3</v>
      </c>
    </row>
    <row r="59" spans="1:12" ht="48" x14ac:dyDescent="0.2">
      <c r="A59" s="1" t="s">
        <v>118</v>
      </c>
      <c r="B59" s="1" t="s">
        <v>119</v>
      </c>
      <c r="C59" s="1" t="s">
        <v>132</v>
      </c>
      <c r="D59" s="1">
        <v>31</v>
      </c>
      <c r="E59" s="1">
        <v>506</v>
      </c>
      <c r="F59" s="1">
        <v>506</v>
      </c>
      <c r="G59" s="1" t="s">
        <v>2</v>
      </c>
      <c r="H59" s="4">
        <v>0.46795768007967797</v>
      </c>
      <c r="I59" s="4">
        <f t="shared" si="1"/>
        <v>0.93591536015935595</v>
      </c>
      <c r="J59" s="1">
        <v>0.46795768007967797</v>
      </c>
      <c r="K59" s="1" t="s">
        <v>2</v>
      </c>
      <c r="L59" s="1" t="s">
        <v>3</v>
      </c>
    </row>
    <row r="60" spans="1:12" ht="48" x14ac:dyDescent="0.2">
      <c r="A60" s="1" t="s">
        <v>120</v>
      </c>
      <c r="B60" s="1" t="s">
        <v>121</v>
      </c>
      <c r="C60" s="1" t="s">
        <v>132</v>
      </c>
      <c r="D60" s="1">
        <v>32</v>
      </c>
      <c r="E60" s="1">
        <v>427</v>
      </c>
      <c r="F60" s="1">
        <v>427</v>
      </c>
      <c r="G60" s="1" t="s">
        <v>2</v>
      </c>
      <c r="H60" s="4">
        <v>0.21004918776770701</v>
      </c>
      <c r="I60" s="4">
        <f t="shared" si="1"/>
        <v>0.42009837553541401</v>
      </c>
      <c r="J60" s="1">
        <v>0.21004918776770701</v>
      </c>
      <c r="K60" s="1" t="s">
        <v>2</v>
      </c>
      <c r="L60" s="1" t="s">
        <v>6</v>
      </c>
    </row>
    <row r="61" spans="1:12" x14ac:dyDescent="0.2">
      <c r="H61"/>
      <c r="I61"/>
    </row>
    <row r="62" spans="1:12" x14ac:dyDescent="0.2">
      <c r="H62"/>
      <c r="I62"/>
    </row>
    <row r="63" spans="1:12" x14ac:dyDescent="0.2">
      <c r="H63"/>
      <c r="I63"/>
    </row>
    <row r="64" spans="1:12" x14ac:dyDescent="0.2">
      <c r="H64"/>
      <c r="I64"/>
    </row>
    <row r="65" spans="8:9" x14ac:dyDescent="0.2">
      <c r="H65"/>
      <c r="I65"/>
    </row>
    <row r="66" spans="8:9" x14ac:dyDescent="0.2">
      <c r="H66"/>
      <c r="I66"/>
    </row>
    <row r="67" spans="8:9" x14ac:dyDescent="0.2">
      <c r="H67"/>
      <c r="I67"/>
    </row>
    <row r="68" spans="8:9" x14ac:dyDescent="0.2">
      <c r="H68"/>
      <c r="I68"/>
    </row>
    <row r="69" spans="8:9" x14ac:dyDescent="0.2">
      <c r="H69"/>
      <c r="I69"/>
    </row>
    <row r="70" spans="8:9" x14ac:dyDescent="0.2">
      <c r="H70"/>
      <c r="I70"/>
    </row>
    <row r="71" spans="8:9" x14ac:dyDescent="0.2">
      <c r="H71"/>
      <c r="I71"/>
    </row>
    <row r="72" spans="8:9" x14ac:dyDescent="0.2">
      <c r="H72"/>
      <c r="I72"/>
    </row>
    <row r="73" spans="8:9" x14ac:dyDescent="0.2">
      <c r="H73"/>
      <c r="I73"/>
    </row>
    <row r="74" spans="8:9" x14ac:dyDescent="0.2">
      <c r="H74"/>
      <c r="I74"/>
    </row>
    <row r="75" spans="8:9" x14ac:dyDescent="0.2">
      <c r="H75"/>
      <c r="I75"/>
    </row>
    <row r="76" spans="8:9" x14ac:dyDescent="0.2">
      <c r="H76"/>
      <c r="I76"/>
    </row>
    <row r="77" spans="8:9" x14ac:dyDescent="0.2">
      <c r="H77"/>
      <c r="I77"/>
    </row>
    <row r="78" spans="8:9" x14ac:dyDescent="0.2">
      <c r="H78"/>
      <c r="I78"/>
    </row>
    <row r="79" spans="8:9" x14ac:dyDescent="0.2">
      <c r="H79"/>
      <c r="I79"/>
    </row>
    <row r="80" spans="8:9" x14ac:dyDescent="0.2">
      <c r="H80"/>
      <c r="I80"/>
    </row>
    <row r="81" spans="8:9" x14ac:dyDescent="0.2">
      <c r="H81"/>
      <c r="I8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81"/>
  <sheetViews>
    <sheetView workbookViewId="0">
      <selection activeCell="K2" sqref="K2"/>
    </sheetView>
  </sheetViews>
  <sheetFormatPr baseColWidth="10" defaultColWidth="8.83203125" defaultRowHeight="15" x14ac:dyDescent="0.2"/>
  <cols>
    <col min="8" max="8" width="8.6640625" style="5"/>
    <col min="9" max="9" width="8.83203125" style="5"/>
  </cols>
  <sheetData>
    <row r="1" spans="1:12" s="2" customFormat="1" x14ac:dyDescent="0.2">
      <c r="A1" s="2" t="s">
        <v>122</v>
      </c>
      <c r="B1" s="2" t="s">
        <v>125</v>
      </c>
      <c r="C1" s="2" t="s">
        <v>133</v>
      </c>
      <c r="D1" s="2" t="s">
        <v>134</v>
      </c>
      <c r="E1" s="2" t="s">
        <v>126</v>
      </c>
      <c r="F1" s="2" t="s">
        <v>127</v>
      </c>
      <c r="G1" s="2" t="s">
        <v>123</v>
      </c>
      <c r="H1" s="3" t="s">
        <v>128</v>
      </c>
      <c r="I1" s="3" t="s">
        <v>135</v>
      </c>
      <c r="J1" s="2" t="s">
        <v>129</v>
      </c>
      <c r="K1" s="2" t="s">
        <v>130</v>
      </c>
      <c r="L1" s="2" t="s">
        <v>124</v>
      </c>
    </row>
    <row r="2" spans="1:12" ht="48" x14ac:dyDescent="0.2">
      <c r="A2" s="1" t="s">
        <v>0</v>
      </c>
      <c r="B2" s="1" t="s">
        <v>1</v>
      </c>
      <c r="C2" s="1" t="s">
        <v>131</v>
      </c>
      <c r="D2" s="1">
        <v>4</v>
      </c>
      <c r="E2" s="1">
        <v>1301</v>
      </c>
      <c r="F2" s="1">
        <v>1301</v>
      </c>
      <c r="G2" s="1" t="s">
        <v>2</v>
      </c>
      <c r="H2" s="4">
        <v>8.4425852590835007</v>
      </c>
      <c r="I2" s="4">
        <f>IF(H2="NaN",0,H2*2)</f>
        <v>16.885170518167001</v>
      </c>
      <c r="J2" s="1">
        <v>8.4425852590835007</v>
      </c>
      <c r="K2" s="1" t="s">
        <v>2</v>
      </c>
      <c r="L2" s="1" t="s">
        <v>3</v>
      </c>
    </row>
    <row r="3" spans="1:12" ht="48" x14ac:dyDescent="0.2">
      <c r="A3" s="1" t="s">
        <v>4</v>
      </c>
      <c r="B3" s="1" t="s">
        <v>5</v>
      </c>
      <c r="C3" s="1" t="s">
        <v>131</v>
      </c>
      <c r="D3" s="1">
        <v>5</v>
      </c>
      <c r="E3" s="1">
        <v>924</v>
      </c>
      <c r="F3" s="1">
        <v>924</v>
      </c>
      <c r="G3" s="1" t="s">
        <v>2</v>
      </c>
      <c r="H3" s="4">
        <v>5.7463123960049796</v>
      </c>
      <c r="I3" s="4">
        <f>IF(H3="NaN",0,H3*4)</f>
        <v>22.985249584019918</v>
      </c>
      <c r="J3" s="1">
        <v>5.7463123960049796</v>
      </c>
      <c r="K3" s="1" t="s">
        <v>2</v>
      </c>
      <c r="L3" s="1" t="s">
        <v>3</v>
      </c>
    </row>
    <row r="4" spans="1:12" ht="48" x14ac:dyDescent="0.2">
      <c r="A4" s="1" t="s">
        <v>7</v>
      </c>
      <c r="B4" s="1" t="s">
        <v>8</v>
      </c>
      <c r="C4" s="1" t="s">
        <v>131</v>
      </c>
      <c r="D4" s="1">
        <v>6</v>
      </c>
      <c r="E4" s="1">
        <v>501</v>
      </c>
      <c r="F4" s="1">
        <v>501</v>
      </c>
      <c r="G4" s="1" t="s">
        <v>2</v>
      </c>
      <c r="H4" s="4">
        <v>2.4951025534962001</v>
      </c>
      <c r="I4" s="4">
        <f>IF(H4="NaN",0,H4*4)</f>
        <v>9.9804102139848005</v>
      </c>
      <c r="J4" s="1">
        <v>2.4951025534962001</v>
      </c>
      <c r="K4" s="1" t="s">
        <v>2</v>
      </c>
      <c r="L4" s="1" t="s">
        <v>3</v>
      </c>
    </row>
    <row r="5" spans="1:12" ht="48" x14ac:dyDescent="0.2">
      <c r="A5" s="1" t="s">
        <v>9</v>
      </c>
      <c r="B5" s="1" t="s">
        <v>10</v>
      </c>
      <c r="C5" s="1" t="s">
        <v>131</v>
      </c>
      <c r="D5" s="1">
        <v>7</v>
      </c>
      <c r="E5" s="1">
        <v>684</v>
      </c>
      <c r="F5" s="1">
        <v>684</v>
      </c>
      <c r="G5" s="1" t="s">
        <v>2</v>
      </c>
      <c r="H5" s="4">
        <v>3.9438723367250401</v>
      </c>
      <c r="I5" s="4">
        <f t="shared" ref="I5:I14" si="0">IF(H5="NaN",0,H5*4)</f>
        <v>15.77548934690016</v>
      </c>
      <c r="J5" s="1">
        <v>3.9438723367250401</v>
      </c>
      <c r="K5" s="1" t="s">
        <v>2</v>
      </c>
      <c r="L5" s="1" t="s">
        <v>3</v>
      </c>
    </row>
    <row r="6" spans="1:12" ht="48" x14ac:dyDescent="0.2">
      <c r="A6" s="1" t="s">
        <v>11</v>
      </c>
      <c r="B6" s="1" t="s">
        <v>12</v>
      </c>
      <c r="C6" s="1" t="s">
        <v>131</v>
      </c>
      <c r="D6" s="1">
        <v>8</v>
      </c>
      <c r="E6" s="1">
        <v>435</v>
      </c>
      <c r="F6" s="1">
        <v>435</v>
      </c>
      <c r="G6" s="1" t="s">
        <v>2</v>
      </c>
      <c r="H6" s="4">
        <v>1.9474928115121199</v>
      </c>
      <c r="I6" s="4">
        <f t="shared" si="0"/>
        <v>7.7899712460484798</v>
      </c>
      <c r="J6" s="1">
        <v>1.9474928115121199</v>
      </c>
      <c r="K6" s="1" t="s">
        <v>2</v>
      </c>
      <c r="L6" s="1" t="s">
        <v>3</v>
      </c>
    </row>
    <row r="7" spans="1:12" ht="48" x14ac:dyDescent="0.2">
      <c r="A7" s="1" t="s">
        <v>13</v>
      </c>
      <c r="B7" s="1" t="s">
        <v>14</v>
      </c>
      <c r="C7" s="1" t="s">
        <v>131</v>
      </c>
      <c r="D7" s="1">
        <v>9</v>
      </c>
      <c r="E7" s="1">
        <v>1032</v>
      </c>
      <c r="F7" s="1">
        <v>1032</v>
      </c>
      <c r="G7" s="1" t="s">
        <v>2</v>
      </c>
      <c r="H7" s="4">
        <v>6.5326990776376199</v>
      </c>
      <c r="I7" s="4">
        <f t="shared" si="0"/>
        <v>26.13079631055048</v>
      </c>
      <c r="J7" s="1">
        <v>6.5326990776376199</v>
      </c>
      <c r="K7" s="1" t="s">
        <v>2</v>
      </c>
      <c r="L7" s="1" t="s">
        <v>3</v>
      </c>
    </row>
    <row r="8" spans="1:12" ht="48" x14ac:dyDescent="0.2">
      <c r="A8" s="1" t="s">
        <v>15</v>
      </c>
      <c r="B8" s="1" t="s">
        <v>16</v>
      </c>
      <c r="C8" s="1" t="s">
        <v>131</v>
      </c>
      <c r="D8" s="1">
        <v>10</v>
      </c>
      <c r="E8" s="1">
        <v>481</v>
      </c>
      <c r="F8" s="1">
        <v>481</v>
      </c>
      <c r="G8" s="1" t="s">
        <v>2</v>
      </c>
      <c r="H8" s="4">
        <v>2.3309559779531699</v>
      </c>
      <c r="I8" s="4">
        <f t="shared" si="0"/>
        <v>9.3238239118126796</v>
      </c>
      <c r="J8" s="1">
        <v>2.3309559779531699</v>
      </c>
      <c r="K8" s="1" t="s">
        <v>2</v>
      </c>
      <c r="L8" s="1" t="s">
        <v>3</v>
      </c>
    </row>
    <row r="9" spans="1:12" ht="48" x14ac:dyDescent="0.2">
      <c r="A9" s="1" t="s">
        <v>17</v>
      </c>
      <c r="B9" s="1" t="s">
        <v>18</v>
      </c>
      <c r="C9" s="1" t="s">
        <v>131</v>
      </c>
      <c r="D9" s="1">
        <v>11</v>
      </c>
      <c r="E9" s="1">
        <v>233</v>
      </c>
      <c r="F9" s="1">
        <v>233</v>
      </c>
      <c r="G9" s="1" t="s">
        <v>2</v>
      </c>
      <c r="H9" s="4">
        <v>4.0871063553977099E-2</v>
      </c>
      <c r="I9" s="4">
        <f t="shared" si="0"/>
        <v>0.1634842542159084</v>
      </c>
      <c r="J9" s="1">
        <v>4.0871063553977099E-2</v>
      </c>
      <c r="K9" s="1" t="s">
        <v>2</v>
      </c>
      <c r="L9" s="1" t="s">
        <v>6</v>
      </c>
    </row>
    <row r="10" spans="1:12" ht="48" x14ac:dyDescent="0.2">
      <c r="A10" s="1" t="s">
        <v>20</v>
      </c>
      <c r="B10" s="1" t="s">
        <v>21</v>
      </c>
      <c r="C10" s="1" t="s">
        <v>131</v>
      </c>
      <c r="D10" s="1">
        <v>12</v>
      </c>
      <c r="E10" s="1">
        <v>411</v>
      </c>
      <c r="F10" s="1">
        <v>411</v>
      </c>
      <c r="G10" s="1" t="s">
        <v>2</v>
      </c>
      <c r="H10" s="4">
        <v>1.74361915867145</v>
      </c>
      <c r="I10" s="4">
        <f t="shared" si="0"/>
        <v>6.9744766346858</v>
      </c>
      <c r="J10" s="1">
        <v>1.74361915867145</v>
      </c>
      <c r="K10" s="1" t="s">
        <v>2</v>
      </c>
      <c r="L10" s="1" t="s">
        <v>3</v>
      </c>
    </row>
    <row r="11" spans="1:12" ht="48" x14ac:dyDescent="0.2">
      <c r="A11" s="1" t="s">
        <v>22</v>
      </c>
      <c r="B11" s="1" t="s">
        <v>23</v>
      </c>
      <c r="C11" s="1" t="s">
        <v>131</v>
      </c>
      <c r="D11" s="1">
        <v>13</v>
      </c>
      <c r="E11" s="1">
        <v>246</v>
      </c>
      <c r="F11" s="1">
        <v>246</v>
      </c>
      <c r="G11" s="1" t="s">
        <v>2</v>
      </c>
      <c r="H11" s="4">
        <v>0.19912396208163</v>
      </c>
      <c r="I11" s="4">
        <f t="shared" si="0"/>
        <v>0.79649584832651998</v>
      </c>
      <c r="J11" s="1">
        <v>0.19912396208163</v>
      </c>
      <c r="K11" s="1" t="s">
        <v>2</v>
      </c>
      <c r="L11" s="1" t="s">
        <v>6</v>
      </c>
    </row>
    <row r="12" spans="1:12" ht="48" x14ac:dyDescent="0.2">
      <c r="A12" s="1" t="s">
        <v>24</v>
      </c>
      <c r="B12" s="1" t="s">
        <v>25</v>
      </c>
      <c r="C12" s="1" t="s">
        <v>131</v>
      </c>
      <c r="D12" s="1">
        <v>14</v>
      </c>
      <c r="E12" s="1">
        <v>589</v>
      </c>
      <c r="F12" s="1">
        <v>589</v>
      </c>
      <c r="G12" s="1" t="s">
        <v>2</v>
      </c>
      <c r="H12" s="4">
        <v>3.20232403265417</v>
      </c>
      <c r="I12" s="4">
        <f t="shared" si="0"/>
        <v>12.80929613061668</v>
      </c>
      <c r="J12" s="1">
        <v>3.20232403265417</v>
      </c>
      <c r="K12" s="1" t="s">
        <v>2</v>
      </c>
      <c r="L12" s="1" t="s">
        <v>3</v>
      </c>
    </row>
    <row r="13" spans="1:12" ht="48" x14ac:dyDescent="0.2">
      <c r="A13" s="1" t="s">
        <v>26</v>
      </c>
      <c r="B13" s="1" t="s">
        <v>27</v>
      </c>
      <c r="C13" s="1" t="s">
        <v>131</v>
      </c>
      <c r="D13" s="1">
        <v>15</v>
      </c>
      <c r="E13" s="1">
        <v>487</v>
      </c>
      <c r="F13" s="1">
        <v>487</v>
      </c>
      <c r="G13" s="1" t="s">
        <v>2</v>
      </c>
      <c r="H13" s="4">
        <v>2.3803512009975001</v>
      </c>
      <c r="I13" s="4">
        <f t="shared" si="0"/>
        <v>9.5214048039900003</v>
      </c>
      <c r="J13" s="1">
        <v>2.3803512009975001</v>
      </c>
      <c r="K13" s="1" t="s">
        <v>2</v>
      </c>
      <c r="L13" s="1" t="s">
        <v>3</v>
      </c>
    </row>
    <row r="14" spans="1:12" ht="48" x14ac:dyDescent="0.2">
      <c r="A14" s="1" t="s">
        <v>28</v>
      </c>
      <c r="B14" s="1" t="s">
        <v>29</v>
      </c>
      <c r="C14" s="1" t="s">
        <v>131</v>
      </c>
      <c r="D14" s="1">
        <v>16</v>
      </c>
      <c r="E14" s="1">
        <v>476</v>
      </c>
      <c r="F14" s="1">
        <v>476</v>
      </c>
      <c r="G14" s="1" t="s">
        <v>2</v>
      </c>
      <c r="H14" s="4">
        <v>2.28969061087076</v>
      </c>
      <c r="I14" s="4">
        <f t="shared" si="0"/>
        <v>9.1587624434830399</v>
      </c>
      <c r="J14" s="1">
        <v>2.28969061087076</v>
      </c>
      <c r="K14" s="1" t="s">
        <v>2</v>
      </c>
      <c r="L14" s="1" t="s">
        <v>3</v>
      </c>
    </row>
    <row r="15" spans="1:12" ht="48" x14ac:dyDescent="0.2">
      <c r="A15" s="1" t="s">
        <v>30</v>
      </c>
      <c r="B15" s="1" t="s">
        <v>31</v>
      </c>
      <c r="C15" s="1" t="s">
        <v>131</v>
      </c>
      <c r="D15" s="1">
        <v>17</v>
      </c>
      <c r="E15" s="1">
        <v>648</v>
      </c>
      <c r="F15" s="1">
        <v>648</v>
      </c>
      <c r="G15" s="1" t="s">
        <v>2</v>
      </c>
      <c r="H15" s="4">
        <v>3.6651662600010901</v>
      </c>
      <c r="I15" s="4">
        <f t="shared" ref="I15:I60" si="1">IF(H15="NaN",0,H15*2)</f>
        <v>7.3303325200021803</v>
      </c>
      <c r="J15" s="1">
        <v>3.6651662600010901</v>
      </c>
      <c r="K15" s="1" t="s">
        <v>2</v>
      </c>
      <c r="L15" s="1" t="s">
        <v>3</v>
      </c>
    </row>
    <row r="16" spans="1:12" ht="48" x14ac:dyDescent="0.2">
      <c r="A16" s="1" t="s">
        <v>32</v>
      </c>
      <c r="B16" s="1" t="s">
        <v>33</v>
      </c>
      <c r="C16" s="1" t="s">
        <v>131</v>
      </c>
      <c r="D16" s="1">
        <v>18</v>
      </c>
      <c r="E16" s="1">
        <v>809</v>
      </c>
      <c r="F16" s="1">
        <v>809</v>
      </c>
      <c r="G16" s="1" t="s">
        <v>2</v>
      </c>
      <c r="H16" s="4">
        <v>4.89338838291303</v>
      </c>
      <c r="I16" s="4">
        <f t="shared" si="1"/>
        <v>9.78677676582606</v>
      </c>
      <c r="J16" s="1">
        <v>4.89338838291303</v>
      </c>
      <c r="K16" s="1" t="s">
        <v>2</v>
      </c>
      <c r="L16" s="1" t="s">
        <v>3</v>
      </c>
    </row>
    <row r="17" spans="1:12" ht="48" x14ac:dyDescent="0.2">
      <c r="A17" s="1" t="s">
        <v>34</v>
      </c>
      <c r="B17" s="1" t="s">
        <v>35</v>
      </c>
      <c r="C17" s="1" t="s">
        <v>131</v>
      </c>
      <c r="D17" s="1">
        <v>19</v>
      </c>
      <c r="E17" s="1">
        <v>832</v>
      </c>
      <c r="F17" s="1">
        <v>832</v>
      </c>
      <c r="G17" s="1" t="s">
        <v>2</v>
      </c>
      <c r="H17" s="4">
        <v>5.0654065116756399</v>
      </c>
      <c r="I17" s="4">
        <f t="shared" si="1"/>
        <v>10.13081302335128</v>
      </c>
      <c r="J17" s="1">
        <v>5.0654065116756399</v>
      </c>
      <c r="K17" s="1" t="s">
        <v>2</v>
      </c>
      <c r="L17" s="1" t="s">
        <v>3</v>
      </c>
    </row>
    <row r="18" spans="1:12" ht="48" x14ac:dyDescent="0.2">
      <c r="A18" s="1" t="s">
        <v>36</v>
      </c>
      <c r="B18" s="1" t="s">
        <v>37</v>
      </c>
      <c r="C18" s="1" t="s">
        <v>131</v>
      </c>
      <c r="D18" s="1">
        <v>20</v>
      </c>
      <c r="E18" s="1">
        <v>1121</v>
      </c>
      <c r="F18" s="1">
        <v>1121</v>
      </c>
      <c r="G18" s="1" t="s">
        <v>2</v>
      </c>
      <c r="H18" s="4">
        <v>7.17165384314933</v>
      </c>
      <c r="I18" s="4">
        <f t="shared" si="1"/>
        <v>14.34330768629866</v>
      </c>
      <c r="J18" s="1">
        <v>7.17165384314933</v>
      </c>
      <c r="K18" s="1" t="s">
        <v>2</v>
      </c>
      <c r="L18" s="1" t="s">
        <v>3</v>
      </c>
    </row>
    <row r="19" spans="1:12" ht="48" x14ac:dyDescent="0.2">
      <c r="A19" s="1" t="s">
        <v>38</v>
      </c>
      <c r="B19" s="1" t="s">
        <v>39</v>
      </c>
      <c r="C19" s="1" t="s">
        <v>131</v>
      </c>
      <c r="D19" s="1">
        <v>21</v>
      </c>
      <c r="E19" s="1">
        <v>1324</v>
      </c>
      <c r="F19" s="1">
        <v>1324</v>
      </c>
      <c r="G19" s="1" t="s">
        <v>2</v>
      </c>
      <c r="H19" s="4">
        <v>8.6031458805872898</v>
      </c>
      <c r="I19" s="4">
        <f t="shared" si="1"/>
        <v>17.20629176117458</v>
      </c>
      <c r="J19" s="1">
        <v>8.6031458805872898</v>
      </c>
      <c r="K19" s="1" t="s">
        <v>2</v>
      </c>
      <c r="L19" s="1" t="s">
        <v>3</v>
      </c>
    </row>
    <row r="20" spans="1:12" ht="48" x14ac:dyDescent="0.2">
      <c r="A20" s="1" t="s">
        <v>40</v>
      </c>
      <c r="B20" s="1" t="s">
        <v>41</v>
      </c>
      <c r="C20" s="1" t="s">
        <v>131</v>
      </c>
      <c r="D20" s="1">
        <v>22</v>
      </c>
      <c r="E20" s="1">
        <v>428</v>
      </c>
      <c r="F20" s="1">
        <v>428</v>
      </c>
      <c r="G20" s="1" t="s">
        <v>2</v>
      </c>
      <c r="H20" s="4">
        <v>1.8883253057210401</v>
      </c>
      <c r="I20" s="4">
        <f t="shared" si="1"/>
        <v>3.7766506114420801</v>
      </c>
      <c r="J20" s="1">
        <v>1.8883253057210401</v>
      </c>
      <c r="K20" s="1" t="s">
        <v>2</v>
      </c>
      <c r="L20" s="1" t="s">
        <v>3</v>
      </c>
    </row>
    <row r="21" spans="1:12" ht="48" x14ac:dyDescent="0.2">
      <c r="A21" s="1" t="s">
        <v>42</v>
      </c>
      <c r="B21" s="1" t="s">
        <v>43</v>
      </c>
      <c r="C21" s="1" t="s">
        <v>131</v>
      </c>
      <c r="D21" s="1">
        <v>23</v>
      </c>
      <c r="E21" s="1">
        <v>786</v>
      </c>
      <c r="F21" s="1">
        <v>786</v>
      </c>
      <c r="G21" s="1" t="s">
        <v>2</v>
      </c>
      <c r="H21" s="4">
        <v>4.7205910435262899</v>
      </c>
      <c r="I21" s="4">
        <f t="shared" si="1"/>
        <v>9.4411820870525798</v>
      </c>
      <c r="J21" s="1">
        <v>4.7205910435262899</v>
      </c>
      <c r="K21" s="1" t="s">
        <v>2</v>
      </c>
      <c r="L21" s="1" t="s">
        <v>3</v>
      </c>
    </row>
    <row r="22" spans="1:12" ht="48" x14ac:dyDescent="0.2">
      <c r="A22" s="1" t="s">
        <v>44</v>
      </c>
      <c r="B22" s="1" t="s">
        <v>45</v>
      </c>
      <c r="C22" s="1" t="s">
        <v>131</v>
      </c>
      <c r="D22" s="1">
        <v>24</v>
      </c>
      <c r="E22" s="1">
        <v>900</v>
      </c>
      <c r="F22" s="1">
        <v>900</v>
      </c>
      <c r="G22" s="1" t="s">
        <v>2</v>
      </c>
      <c r="H22" s="4">
        <v>5.5697325709166003</v>
      </c>
      <c r="I22" s="4">
        <f t="shared" si="1"/>
        <v>11.139465141833201</v>
      </c>
      <c r="J22" s="1">
        <v>5.5697325709166003</v>
      </c>
      <c r="K22" s="1" t="s">
        <v>2</v>
      </c>
      <c r="L22" s="1" t="s">
        <v>3</v>
      </c>
    </row>
    <row r="23" spans="1:12" ht="48" x14ac:dyDescent="0.2">
      <c r="A23" s="1" t="s">
        <v>46</v>
      </c>
      <c r="B23" s="1" t="s">
        <v>47</v>
      </c>
      <c r="C23" s="1" t="s">
        <v>131</v>
      </c>
      <c r="D23" s="1">
        <v>25</v>
      </c>
      <c r="E23" s="1">
        <v>360</v>
      </c>
      <c r="F23" s="1">
        <v>360</v>
      </c>
      <c r="G23" s="1" t="s">
        <v>2</v>
      </c>
      <c r="H23" s="4">
        <v>1.29937335516077</v>
      </c>
      <c r="I23" s="4">
        <f>IF(H23="NaN",0,H23*2)</f>
        <v>2.59874671032154</v>
      </c>
      <c r="J23" s="1">
        <v>1.29937335516077</v>
      </c>
      <c r="K23" s="1" t="s">
        <v>2</v>
      </c>
      <c r="L23" s="1" t="s">
        <v>3</v>
      </c>
    </row>
    <row r="24" spans="1:12" ht="48" x14ac:dyDescent="0.2">
      <c r="A24" s="1" t="s">
        <v>48</v>
      </c>
      <c r="B24" s="1" t="s">
        <v>49</v>
      </c>
      <c r="C24" s="1" t="s">
        <v>131</v>
      </c>
      <c r="D24" s="1">
        <v>26</v>
      </c>
      <c r="E24" s="1">
        <v>910</v>
      </c>
      <c r="F24" s="1">
        <v>910</v>
      </c>
      <c r="G24" s="1" t="s">
        <v>2</v>
      </c>
      <c r="H24" s="4">
        <v>5.6433934830174497</v>
      </c>
      <c r="I24" s="4">
        <f t="shared" si="1"/>
        <v>11.286786966034899</v>
      </c>
      <c r="J24" s="1">
        <v>5.6433934830174497</v>
      </c>
      <c r="K24" s="1" t="s">
        <v>2</v>
      </c>
      <c r="L24" s="1" t="s">
        <v>3</v>
      </c>
    </row>
    <row r="25" spans="1:12" ht="48" x14ac:dyDescent="0.2">
      <c r="A25" s="1" t="s">
        <v>50</v>
      </c>
      <c r="B25" s="1" t="s">
        <v>51</v>
      </c>
      <c r="C25" s="1" t="s">
        <v>131</v>
      </c>
      <c r="D25" s="1">
        <v>27</v>
      </c>
      <c r="E25" s="1">
        <v>629</v>
      </c>
      <c r="F25" s="1">
        <v>629</v>
      </c>
      <c r="G25" s="1" t="s">
        <v>2</v>
      </c>
      <c r="H25" s="4">
        <v>3.5169806642486199</v>
      </c>
      <c r="I25" s="4">
        <f t="shared" si="1"/>
        <v>7.0339613284972398</v>
      </c>
      <c r="J25" s="1">
        <v>3.5169806642486199</v>
      </c>
      <c r="K25" s="1" t="s">
        <v>2</v>
      </c>
      <c r="L25" s="1" t="s">
        <v>3</v>
      </c>
    </row>
    <row r="26" spans="1:12" ht="48" x14ac:dyDescent="0.2">
      <c r="A26" s="1" t="s">
        <v>52</v>
      </c>
      <c r="B26" s="1" t="s">
        <v>53</v>
      </c>
      <c r="C26" s="1" t="s">
        <v>131</v>
      </c>
      <c r="D26" s="1">
        <v>28</v>
      </c>
      <c r="E26" s="1">
        <v>459</v>
      </c>
      <c r="F26" s="1">
        <v>459</v>
      </c>
      <c r="G26" s="1" t="s">
        <v>2</v>
      </c>
      <c r="H26" s="4">
        <v>2.1486597716513298</v>
      </c>
      <c r="I26" s="4">
        <f>IF(H26="NaN",0,H26*4)</f>
        <v>8.5946390866053193</v>
      </c>
      <c r="J26" s="1">
        <v>2.1486597716513298</v>
      </c>
      <c r="K26" s="1" t="s">
        <v>2</v>
      </c>
      <c r="L26" s="1" t="s">
        <v>3</v>
      </c>
    </row>
    <row r="27" spans="1:12" ht="48" x14ac:dyDescent="0.2">
      <c r="A27" s="1" t="s">
        <v>54</v>
      </c>
      <c r="B27" s="1" t="s">
        <v>55</v>
      </c>
      <c r="C27" s="1" t="s">
        <v>131</v>
      </c>
      <c r="D27" s="1">
        <v>29</v>
      </c>
      <c r="E27" s="1">
        <v>742</v>
      </c>
      <c r="F27" s="1">
        <v>742</v>
      </c>
      <c r="G27" s="1" t="s">
        <v>2</v>
      </c>
      <c r="H27" s="4">
        <v>4.38771736594025</v>
      </c>
      <c r="I27" s="4">
        <f t="shared" si="1"/>
        <v>8.7754347318804999</v>
      </c>
      <c r="J27" s="1">
        <v>4.38771736594025</v>
      </c>
      <c r="K27" s="1" t="s">
        <v>2</v>
      </c>
      <c r="L27" s="1" t="s">
        <v>3</v>
      </c>
    </row>
    <row r="28" spans="1:12" ht="48" x14ac:dyDescent="0.2">
      <c r="A28" s="1" t="s">
        <v>56</v>
      </c>
      <c r="B28" s="1" t="s">
        <v>57</v>
      </c>
      <c r="C28" s="1" t="s">
        <v>131</v>
      </c>
      <c r="D28" s="1">
        <v>30</v>
      </c>
      <c r="E28" s="1">
        <v>614</v>
      </c>
      <c r="F28" s="1">
        <v>614</v>
      </c>
      <c r="G28" s="1" t="s">
        <v>2</v>
      </c>
      <c r="H28" s="4">
        <v>3.3994253030139898</v>
      </c>
      <c r="I28" s="4">
        <f t="shared" si="1"/>
        <v>6.7988506060279796</v>
      </c>
      <c r="J28" s="1">
        <v>3.3994253030139898</v>
      </c>
      <c r="K28" s="1" t="s">
        <v>2</v>
      </c>
      <c r="L28" s="1" t="s">
        <v>3</v>
      </c>
    </row>
    <row r="29" spans="1:12" ht="48" x14ac:dyDescent="0.2">
      <c r="A29" s="1" t="s">
        <v>58</v>
      </c>
      <c r="B29" s="1" t="s">
        <v>59</v>
      </c>
      <c r="C29" s="1" t="s">
        <v>131</v>
      </c>
      <c r="D29" s="1">
        <v>31</v>
      </c>
      <c r="E29" s="1">
        <v>775</v>
      </c>
      <c r="F29" s="1">
        <v>775</v>
      </c>
      <c r="G29" s="1" t="s">
        <v>2</v>
      </c>
      <c r="H29" s="4">
        <v>4.6376629890156202</v>
      </c>
      <c r="I29" s="4">
        <f t="shared" si="1"/>
        <v>9.2753259780312405</v>
      </c>
      <c r="J29" s="1">
        <v>4.6376629890156202</v>
      </c>
      <c r="K29" s="1" t="s">
        <v>2</v>
      </c>
      <c r="L29" s="1" t="s">
        <v>3</v>
      </c>
    </row>
    <row r="30" spans="1:12" ht="48" x14ac:dyDescent="0.2">
      <c r="A30" s="1" t="s">
        <v>60</v>
      </c>
      <c r="B30" s="1" t="s">
        <v>61</v>
      </c>
      <c r="C30" s="1" t="s">
        <v>131</v>
      </c>
      <c r="D30" s="1">
        <v>32</v>
      </c>
      <c r="E30" s="1">
        <v>571</v>
      </c>
      <c r="F30" s="1">
        <v>571</v>
      </c>
      <c r="G30" s="1" t="s">
        <v>2</v>
      </c>
      <c r="H30" s="4">
        <v>3.05944657032166</v>
      </c>
      <c r="I30" s="4">
        <f t="shared" si="1"/>
        <v>6.11889314064332</v>
      </c>
      <c r="J30" s="1">
        <v>3.05944657032166</v>
      </c>
      <c r="K30" s="1" t="s">
        <v>2</v>
      </c>
      <c r="L30" s="1" t="s">
        <v>3</v>
      </c>
    </row>
    <row r="31" spans="1:12" ht="48" x14ac:dyDescent="0.2">
      <c r="A31" s="1" t="s">
        <v>62</v>
      </c>
      <c r="B31" s="1" t="s">
        <v>63</v>
      </c>
      <c r="C31" s="1" t="s">
        <v>132</v>
      </c>
      <c r="D31" s="1">
        <v>3</v>
      </c>
      <c r="E31" s="1">
        <v>333</v>
      </c>
      <c r="F31" s="1">
        <v>333</v>
      </c>
      <c r="G31" s="1" t="s">
        <v>2</v>
      </c>
      <c r="H31" s="4">
        <v>1.0563839784976801</v>
      </c>
      <c r="I31" s="4">
        <f t="shared" si="1"/>
        <v>2.1127679569953601</v>
      </c>
      <c r="J31" s="1">
        <v>1.0563839784976801</v>
      </c>
      <c r="K31" s="1" t="s">
        <v>2</v>
      </c>
      <c r="L31" s="1" t="s">
        <v>3</v>
      </c>
    </row>
    <row r="32" spans="1:12" ht="48" x14ac:dyDescent="0.2">
      <c r="A32" s="1" t="s">
        <v>64</v>
      </c>
      <c r="B32" s="1" t="s">
        <v>65</v>
      </c>
      <c r="C32" s="1" t="s">
        <v>132</v>
      </c>
      <c r="D32" s="1">
        <v>4</v>
      </c>
      <c r="E32" s="1">
        <v>292</v>
      </c>
      <c r="F32" s="1">
        <v>292</v>
      </c>
      <c r="G32" s="1" t="s">
        <v>2</v>
      </c>
      <c r="H32" s="4">
        <v>0.67217351615471399</v>
      </c>
      <c r="I32" s="4">
        <f t="shared" si="1"/>
        <v>1.344347032309428</v>
      </c>
      <c r="J32" s="1">
        <v>0.67217351615471399</v>
      </c>
      <c r="K32" s="1" t="s">
        <v>2</v>
      </c>
      <c r="L32" s="1" t="s">
        <v>6</v>
      </c>
    </row>
    <row r="33" spans="1:12" ht="48" x14ac:dyDescent="0.2">
      <c r="A33" s="1" t="s">
        <v>66</v>
      </c>
      <c r="B33" s="1" t="s">
        <v>67</v>
      </c>
      <c r="C33" s="1" t="s">
        <v>132</v>
      </c>
      <c r="D33" s="1">
        <v>5</v>
      </c>
      <c r="E33" s="1">
        <v>282</v>
      </c>
      <c r="F33" s="1">
        <v>282</v>
      </c>
      <c r="G33" s="1" t="s">
        <v>2</v>
      </c>
      <c r="H33" s="4">
        <v>0.57453283855519899</v>
      </c>
      <c r="I33" s="4">
        <f t="shared" si="1"/>
        <v>1.149065677110398</v>
      </c>
      <c r="J33" s="1">
        <v>0.57453283855519899</v>
      </c>
      <c r="K33" s="1" t="s">
        <v>2</v>
      </c>
      <c r="L33" s="1" t="s">
        <v>6</v>
      </c>
    </row>
    <row r="34" spans="1:12" ht="48" x14ac:dyDescent="0.2">
      <c r="A34" s="1" t="s">
        <v>68</v>
      </c>
      <c r="B34" s="1" t="s">
        <v>69</v>
      </c>
      <c r="C34" s="1" t="s">
        <v>132</v>
      </c>
      <c r="D34" s="1">
        <v>6</v>
      </c>
      <c r="E34" s="1">
        <v>249</v>
      </c>
      <c r="F34" s="1">
        <v>249</v>
      </c>
      <c r="G34" s="1" t="s">
        <v>2</v>
      </c>
      <c r="H34" s="4">
        <v>0.232682818640602</v>
      </c>
      <c r="I34" s="4">
        <f t="shared" si="1"/>
        <v>0.465365637281204</v>
      </c>
      <c r="J34" s="1">
        <v>0.232682818640602</v>
      </c>
      <c r="K34" s="1" t="s">
        <v>2</v>
      </c>
      <c r="L34" s="1" t="s">
        <v>6</v>
      </c>
    </row>
    <row r="35" spans="1:12" ht="48" x14ac:dyDescent="0.2">
      <c r="A35" s="1" t="s">
        <v>70</v>
      </c>
      <c r="B35" s="1" t="s">
        <v>71</v>
      </c>
      <c r="C35" s="1" t="s">
        <v>132</v>
      </c>
      <c r="D35" s="1">
        <v>7</v>
      </c>
      <c r="E35" s="1">
        <v>269</v>
      </c>
      <c r="F35" s="1">
        <v>269</v>
      </c>
      <c r="G35" s="1" t="s">
        <v>2</v>
      </c>
      <c r="H35" s="4">
        <v>0.44424529249865402</v>
      </c>
      <c r="I35" s="4">
        <f t="shared" si="1"/>
        <v>0.88849058499730804</v>
      </c>
      <c r="J35" s="1">
        <v>0.44424529249865402</v>
      </c>
      <c r="K35" s="1" t="s">
        <v>2</v>
      </c>
      <c r="L35" s="1" t="s">
        <v>6</v>
      </c>
    </row>
    <row r="36" spans="1:12" ht="48" x14ac:dyDescent="0.2">
      <c r="A36" s="1" t="s">
        <v>72</v>
      </c>
      <c r="B36" s="1" t="s">
        <v>73</v>
      </c>
      <c r="C36" s="1" t="s">
        <v>132</v>
      </c>
      <c r="D36" s="1">
        <v>8</v>
      </c>
      <c r="E36" s="1">
        <v>299</v>
      </c>
      <c r="F36" s="1">
        <v>299</v>
      </c>
      <c r="G36" s="1" t="s">
        <v>2</v>
      </c>
      <c r="H36" s="4">
        <v>0.73943683964115203</v>
      </c>
      <c r="I36" s="4">
        <f t="shared" si="1"/>
        <v>1.4788736792823041</v>
      </c>
      <c r="J36" s="1">
        <v>0.73943683964115203</v>
      </c>
      <c r="K36" s="1" t="s">
        <v>2</v>
      </c>
      <c r="L36" s="1" t="s">
        <v>6</v>
      </c>
    </row>
    <row r="37" spans="1:12" ht="48" x14ac:dyDescent="0.2">
      <c r="A37" s="1" t="s">
        <v>74</v>
      </c>
      <c r="B37" s="1" t="s">
        <v>75</v>
      </c>
      <c r="C37" s="1" t="s">
        <v>132</v>
      </c>
      <c r="D37" s="1">
        <v>9</v>
      </c>
      <c r="E37" s="1">
        <v>254</v>
      </c>
      <c r="F37" s="1">
        <v>254</v>
      </c>
      <c r="G37" s="1" t="s">
        <v>2</v>
      </c>
      <c r="H37" s="4">
        <v>0.28730217113702899</v>
      </c>
      <c r="I37" s="4">
        <f t="shared" si="1"/>
        <v>0.57460434227405799</v>
      </c>
      <c r="J37" s="1">
        <v>0.28730217113702899</v>
      </c>
      <c r="K37" s="1" t="s">
        <v>2</v>
      </c>
      <c r="L37" s="1" t="s">
        <v>6</v>
      </c>
    </row>
    <row r="38" spans="1:12" ht="48" x14ac:dyDescent="0.2">
      <c r="A38" s="1" t="s">
        <v>76</v>
      </c>
      <c r="B38" s="1" t="s">
        <v>77</v>
      </c>
      <c r="C38" s="1" t="s">
        <v>132</v>
      </c>
      <c r="D38" s="1">
        <v>10</v>
      </c>
      <c r="E38" s="1">
        <v>254</v>
      </c>
      <c r="F38" s="1">
        <v>254</v>
      </c>
      <c r="G38" s="1" t="s">
        <v>2</v>
      </c>
      <c r="H38" s="4">
        <v>0.28730217113702899</v>
      </c>
      <c r="I38" s="4">
        <f t="shared" si="1"/>
        <v>0.57460434227405799</v>
      </c>
      <c r="J38" s="1">
        <v>0.28730217113702899</v>
      </c>
      <c r="K38" s="1" t="s">
        <v>2</v>
      </c>
      <c r="L38" s="1" t="s">
        <v>6</v>
      </c>
    </row>
    <row r="39" spans="1:12" ht="48" x14ac:dyDescent="0.2">
      <c r="A39" s="1" t="s">
        <v>78</v>
      </c>
      <c r="B39" s="1" t="s">
        <v>79</v>
      </c>
      <c r="C39" s="1" t="s">
        <v>132</v>
      </c>
      <c r="D39" s="1">
        <v>11</v>
      </c>
      <c r="E39" s="1">
        <v>281</v>
      </c>
      <c r="F39" s="1">
        <v>281</v>
      </c>
      <c r="G39" s="1" t="s">
        <v>2</v>
      </c>
      <c r="H39" s="4">
        <v>0.56465629467899903</v>
      </c>
      <c r="I39" s="4">
        <f t="shared" si="1"/>
        <v>1.1293125893579981</v>
      </c>
      <c r="J39" s="1">
        <v>0.56465629467899903</v>
      </c>
      <c r="K39" s="1" t="s">
        <v>2</v>
      </c>
      <c r="L39" s="1" t="s">
        <v>6</v>
      </c>
    </row>
    <row r="40" spans="1:12" ht="48" x14ac:dyDescent="0.2">
      <c r="A40" s="1" t="s">
        <v>80</v>
      </c>
      <c r="B40" s="1" t="s">
        <v>81</v>
      </c>
      <c r="C40" s="1" t="s">
        <v>132</v>
      </c>
      <c r="D40" s="1">
        <v>12</v>
      </c>
      <c r="E40" s="1">
        <v>260</v>
      </c>
      <c r="F40" s="1">
        <v>260</v>
      </c>
      <c r="G40" s="1" t="s">
        <v>2</v>
      </c>
      <c r="H40" s="4">
        <v>0.351141485331879</v>
      </c>
      <c r="I40" s="4">
        <f t="shared" si="1"/>
        <v>0.702282970663758</v>
      </c>
      <c r="J40" s="1">
        <v>0.351141485331879</v>
      </c>
      <c r="K40" s="1" t="s">
        <v>2</v>
      </c>
      <c r="L40" s="1" t="s">
        <v>6</v>
      </c>
    </row>
    <row r="41" spans="1:12" ht="48" x14ac:dyDescent="0.2">
      <c r="A41" s="1" t="s">
        <v>82</v>
      </c>
      <c r="B41" s="1" t="s">
        <v>83</v>
      </c>
      <c r="C41" s="1" t="s">
        <v>132</v>
      </c>
      <c r="D41" s="1">
        <v>13</v>
      </c>
      <c r="E41" s="1">
        <v>288</v>
      </c>
      <c r="F41" s="1">
        <v>288</v>
      </c>
      <c r="G41" s="1" t="s">
        <v>2</v>
      </c>
      <c r="H41" s="4">
        <v>0.63335128202125301</v>
      </c>
      <c r="I41" s="4">
        <f t="shared" si="1"/>
        <v>1.266702564042506</v>
      </c>
      <c r="J41" s="1">
        <v>0.63335128202125301</v>
      </c>
      <c r="K41" s="1" t="s">
        <v>2</v>
      </c>
      <c r="L41" s="1" t="s">
        <v>6</v>
      </c>
    </row>
    <row r="42" spans="1:12" ht="48" x14ac:dyDescent="0.2">
      <c r="A42" s="1" t="s">
        <v>84</v>
      </c>
      <c r="B42" s="1" t="s">
        <v>85</v>
      </c>
      <c r="C42" s="1" t="s">
        <v>132</v>
      </c>
      <c r="D42" s="1">
        <v>14</v>
      </c>
      <c r="E42" s="1">
        <v>267</v>
      </c>
      <c r="F42" s="1">
        <v>267</v>
      </c>
      <c r="G42" s="1" t="s">
        <v>2</v>
      </c>
      <c r="H42" s="4">
        <v>0.42379122016569198</v>
      </c>
      <c r="I42" s="4">
        <f t="shared" si="1"/>
        <v>0.84758244033138397</v>
      </c>
      <c r="J42" s="1">
        <v>0.42379122016569198</v>
      </c>
      <c r="K42" s="1" t="s">
        <v>2</v>
      </c>
      <c r="L42" s="1" t="s">
        <v>6</v>
      </c>
    </row>
    <row r="43" spans="1:12" ht="48" x14ac:dyDescent="0.2">
      <c r="A43" s="1" t="s">
        <v>86</v>
      </c>
      <c r="B43" s="1" t="s">
        <v>87</v>
      </c>
      <c r="C43" s="1" t="s">
        <v>132</v>
      </c>
      <c r="D43" s="1">
        <v>15</v>
      </c>
      <c r="E43" s="1">
        <v>281</v>
      </c>
      <c r="F43" s="1">
        <v>281</v>
      </c>
      <c r="G43" s="1" t="s">
        <v>2</v>
      </c>
      <c r="H43" s="4">
        <v>0.56465629467899903</v>
      </c>
      <c r="I43" s="4">
        <f t="shared" si="1"/>
        <v>1.1293125893579981</v>
      </c>
      <c r="J43" s="1">
        <v>0.56465629467899903</v>
      </c>
      <c r="K43" s="1" t="s">
        <v>2</v>
      </c>
      <c r="L43" s="1" t="s">
        <v>6</v>
      </c>
    </row>
    <row r="44" spans="1:12" ht="48" x14ac:dyDescent="0.2">
      <c r="A44" s="1" t="s">
        <v>88</v>
      </c>
      <c r="B44" s="1" t="s">
        <v>89</v>
      </c>
      <c r="C44" s="1" t="s">
        <v>132</v>
      </c>
      <c r="D44" s="1">
        <v>16</v>
      </c>
      <c r="E44" s="1">
        <v>281</v>
      </c>
      <c r="F44" s="1">
        <v>281</v>
      </c>
      <c r="G44" s="1" t="s">
        <v>2</v>
      </c>
      <c r="H44" s="4">
        <v>0.56465629467899903</v>
      </c>
      <c r="I44" s="4">
        <f t="shared" si="1"/>
        <v>1.1293125893579981</v>
      </c>
      <c r="J44" s="1">
        <v>0.56465629467899903</v>
      </c>
      <c r="K44" s="1" t="s">
        <v>2</v>
      </c>
      <c r="L44" s="1" t="s">
        <v>6</v>
      </c>
    </row>
    <row r="45" spans="1:12" ht="48" x14ac:dyDescent="0.2">
      <c r="A45" s="1" t="s">
        <v>90</v>
      </c>
      <c r="B45" s="1" t="s">
        <v>91</v>
      </c>
      <c r="C45" s="1" t="s">
        <v>132</v>
      </c>
      <c r="D45" s="1">
        <v>17</v>
      </c>
      <c r="E45" s="1">
        <v>353</v>
      </c>
      <c r="F45" s="1">
        <v>353</v>
      </c>
      <c r="G45" s="1" t="s">
        <v>2</v>
      </c>
      <c r="H45" s="4">
        <v>1.2369817835438801</v>
      </c>
      <c r="I45" s="4">
        <f t="shared" si="1"/>
        <v>2.4739635670877602</v>
      </c>
      <c r="J45" s="1">
        <v>1.2369817835438801</v>
      </c>
      <c r="K45" s="1" t="s">
        <v>2</v>
      </c>
      <c r="L45" s="1" t="s">
        <v>3</v>
      </c>
    </row>
    <row r="46" spans="1:12" ht="48" x14ac:dyDescent="0.2">
      <c r="A46" s="1" t="s">
        <v>92</v>
      </c>
      <c r="B46" s="1" t="s">
        <v>93</v>
      </c>
      <c r="C46" s="1" t="s">
        <v>132</v>
      </c>
      <c r="D46" s="1">
        <v>18</v>
      </c>
      <c r="E46" s="1">
        <v>293</v>
      </c>
      <c r="F46" s="1">
        <v>293</v>
      </c>
      <c r="G46" s="1" t="s">
        <v>2</v>
      </c>
      <c r="H46" s="4">
        <v>0.68183364338597796</v>
      </c>
      <c r="I46" s="4">
        <f t="shared" si="1"/>
        <v>1.3636672867719559</v>
      </c>
      <c r="J46" s="1">
        <v>0.68183364338597796</v>
      </c>
      <c r="K46" s="1" t="s">
        <v>2</v>
      </c>
      <c r="L46" s="1" t="s">
        <v>6</v>
      </c>
    </row>
    <row r="47" spans="1:12" ht="48" x14ac:dyDescent="0.2">
      <c r="A47" s="1" t="s">
        <v>94</v>
      </c>
      <c r="B47" s="1" t="s">
        <v>95</v>
      </c>
      <c r="C47" s="1" t="s">
        <v>132</v>
      </c>
      <c r="D47" s="1">
        <v>19</v>
      </c>
      <c r="E47" s="1">
        <v>335</v>
      </c>
      <c r="F47" s="1">
        <v>335</v>
      </c>
      <c r="G47" s="1" t="s">
        <v>2</v>
      </c>
      <c r="H47" s="4">
        <v>1.07461255407774</v>
      </c>
      <c r="I47" s="4">
        <f t="shared" si="1"/>
        <v>2.1492251081554801</v>
      </c>
      <c r="J47" s="1">
        <v>1.07461255407774</v>
      </c>
      <c r="K47" s="1" t="s">
        <v>2</v>
      </c>
      <c r="L47" s="1" t="s">
        <v>3</v>
      </c>
    </row>
    <row r="48" spans="1:12" ht="48" x14ac:dyDescent="0.2">
      <c r="A48" s="1" t="s">
        <v>96</v>
      </c>
      <c r="B48" s="1" t="s">
        <v>97</v>
      </c>
      <c r="C48" s="1" t="s">
        <v>132</v>
      </c>
      <c r="D48" s="1">
        <v>20</v>
      </c>
      <c r="E48" s="1">
        <v>334</v>
      </c>
      <c r="F48" s="1">
        <v>334</v>
      </c>
      <c r="G48" s="1" t="s">
        <v>2</v>
      </c>
      <c r="H48" s="4">
        <v>1.06550326576931</v>
      </c>
      <c r="I48" s="4">
        <f t="shared" si="1"/>
        <v>2.13100653153862</v>
      </c>
      <c r="J48" s="1">
        <v>1.06550326576931</v>
      </c>
      <c r="K48" s="1" t="s">
        <v>2</v>
      </c>
      <c r="L48" s="1" t="s">
        <v>3</v>
      </c>
    </row>
    <row r="49" spans="1:12" ht="48" x14ac:dyDescent="0.2">
      <c r="A49" s="1" t="s">
        <v>98</v>
      </c>
      <c r="B49" s="1" t="s">
        <v>99</v>
      </c>
      <c r="C49" s="1" t="s">
        <v>132</v>
      </c>
      <c r="D49" s="1">
        <v>21</v>
      </c>
      <c r="E49" s="1">
        <v>321</v>
      </c>
      <c r="F49" s="1">
        <v>321</v>
      </c>
      <c r="G49" s="1" t="s">
        <v>2</v>
      </c>
      <c r="H49" s="4">
        <v>0.94613068023843105</v>
      </c>
      <c r="I49" s="4">
        <f t="shared" si="1"/>
        <v>1.8922613604768621</v>
      </c>
      <c r="J49" s="1">
        <v>0.94613068023843105</v>
      </c>
      <c r="K49" s="1" t="s">
        <v>2</v>
      </c>
      <c r="L49" s="1" t="s">
        <v>6</v>
      </c>
    </row>
    <row r="50" spans="1:12" ht="48" x14ac:dyDescent="0.2">
      <c r="A50" s="1" t="s">
        <v>100</v>
      </c>
      <c r="B50" s="1" t="s">
        <v>101</v>
      </c>
      <c r="C50" s="1" t="s">
        <v>132</v>
      </c>
      <c r="D50" s="1">
        <v>22</v>
      </c>
      <c r="E50" s="1">
        <v>290</v>
      </c>
      <c r="F50" s="1">
        <v>290</v>
      </c>
      <c r="G50" s="1" t="s">
        <v>2</v>
      </c>
      <c r="H50" s="4">
        <v>0.65279941771553895</v>
      </c>
      <c r="I50" s="4">
        <f t="shared" si="1"/>
        <v>1.3055988354310779</v>
      </c>
      <c r="J50" s="1">
        <v>0.65279941771553895</v>
      </c>
      <c r="K50" s="1" t="s">
        <v>2</v>
      </c>
      <c r="L50" s="1" t="s">
        <v>6</v>
      </c>
    </row>
    <row r="51" spans="1:12" ht="48" x14ac:dyDescent="0.2">
      <c r="A51" s="1" t="s">
        <v>102</v>
      </c>
      <c r="B51" s="1" t="s">
        <v>103</v>
      </c>
      <c r="C51" s="1" t="s">
        <v>132</v>
      </c>
      <c r="D51" s="1">
        <v>23</v>
      </c>
      <c r="E51" s="1">
        <v>345</v>
      </c>
      <c r="F51" s="1">
        <v>345</v>
      </c>
      <c r="G51" s="1" t="s">
        <v>2</v>
      </c>
      <c r="H51" s="4">
        <v>1.16517789793862</v>
      </c>
      <c r="I51" s="4">
        <f t="shared" si="1"/>
        <v>2.3303557958772401</v>
      </c>
      <c r="J51" s="1">
        <v>1.16517789793862</v>
      </c>
      <c r="K51" s="1" t="s">
        <v>2</v>
      </c>
      <c r="L51" s="1" t="s">
        <v>3</v>
      </c>
    </row>
    <row r="52" spans="1:12" ht="48" x14ac:dyDescent="0.2">
      <c r="A52" s="1" t="s">
        <v>104</v>
      </c>
      <c r="B52" s="1" t="s">
        <v>105</v>
      </c>
      <c r="C52" s="1" t="s">
        <v>132</v>
      </c>
      <c r="D52" s="1">
        <v>24</v>
      </c>
      <c r="E52" s="1">
        <v>304</v>
      </c>
      <c r="F52" s="1">
        <v>304</v>
      </c>
      <c r="G52" s="1" t="s">
        <v>2</v>
      </c>
      <c r="H52" s="4">
        <v>0.78700143858673899</v>
      </c>
      <c r="I52" s="4">
        <f t="shared" si="1"/>
        <v>1.574002877173478</v>
      </c>
      <c r="J52" s="1">
        <v>0.78700143858673899</v>
      </c>
      <c r="K52" s="1" t="s">
        <v>2</v>
      </c>
      <c r="L52" s="1" t="s">
        <v>6</v>
      </c>
    </row>
    <row r="53" spans="1:12" ht="48" x14ac:dyDescent="0.2">
      <c r="A53" s="1" t="s">
        <v>106</v>
      </c>
      <c r="B53" s="1" t="s">
        <v>107</v>
      </c>
      <c r="C53" s="1" t="s">
        <v>132</v>
      </c>
      <c r="D53" s="1">
        <v>25</v>
      </c>
      <c r="E53" s="1">
        <v>299</v>
      </c>
      <c r="F53" s="1">
        <v>299</v>
      </c>
      <c r="G53" s="1" t="s">
        <v>2</v>
      </c>
      <c r="H53" s="4">
        <v>0.73943683964115203</v>
      </c>
      <c r="I53" s="4">
        <f t="shared" si="1"/>
        <v>1.4788736792823041</v>
      </c>
      <c r="J53" s="1">
        <v>0.73943683964115203</v>
      </c>
      <c r="K53" s="1" t="s">
        <v>2</v>
      </c>
      <c r="L53" s="1" t="s">
        <v>6</v>
      </c>
    </row>
    <row r="54" spans="1:12" ht="48" x14ac:dyDescent="0.2">
      <c r="A54" s="1" t="s">
        <v>108</v>
      </c>
      <c r="B54" s="1" t="s">
        <v>109</v>
      </c>
      <c r="C54" s="1" t="s">
        <v>132</v>
      </c>
      <c r="D54" s="1">
        <v>26</v>
      </c>
      <c r="E54" s="1">
        <v>310</v>
      </c>
      <c r="F54" s="1">
        <v>310</v>
      </c>
      <c r="G54" s="1" t="s">
        <v>2</v>
      </c>
      <c r="H54" s="4">
        <v>0.84359803402064804</v>
      </c>
      <c r="I54" s="4">
        <f t="shared" si="1"/>
        <v>1.6871960680412961</v>
      </c>
      <c r="J54" s="1">
        <v>0.84359803402064804</v>
      </c>
      <c r="K54" s="1" t="s">
        <v>2</v>
      </c>
      <c r="L54" s="1" t="s">
        <v>6</v>
      </c>
    </row>
    <row r="55" spans="1:12" ht="48" x14ac:dyDescent="0.2">
      <c r="A55" s="1" t="s">
        <v>110</v>
      </c>
      <c r="B55" s="1" t="s">
        <v>111</v>
      </c>
      <c r="C55" s="1" t="s">
        <v>132</v>
      </c>
      <c r="D55" s="1">
        <v>27</v>
      </c>
      <c r="E55" s="1">
        <v>307</v>
      </c>
      <c r="F55" s="1">
        <v>307</v>
      </c>
      <c r="G55" s="1" t="s">
        <v>2</v>
      </c>
      <c r="H55" s="4">
        <v>0.81536273012061</v>
      </c>
      <c r="I55" s="4">
        <f t="shared" si="1"/>
        <v>1.63072546024122</v>
      </c>
      <c r="J55" s="1">
        <v>0.81536273012061</v>
      </c>
      <c r="K55" s="1" t="s">
        <v>2</v>
      </c>
      <c r="L55" s="1" t="s">
        <v>6</v>
      </c>
    </row>
    <row r="56" spans="1:12" ht="48" x14ac:dyDescent="0.2">
      <c r="A56" s="1" t="s">
        <v>112</v>
      </c>
      <c r="B56" s="1" t="s">
        <v>113</v>
      </c>
      <c r="C56" s="1" t="s">
        <v>132</v>
      </c>
      <c r="D56" s="1">
        <v>28</v>
      </c>
      <c r="E56" s="1">
        <v>313</v>
      </c>
      <c r="F56" s="1">
        <v>313</v>
      </c>
      <c r="G56" s="1" t="s">
        <v>2</v>
      </c>
      <c r="H56" s="4">
        <v>0.87171262778212</v>
      </c>
      <c r="I56" s="4">
        <f t="shared" si="1"/>
        <v>1.74342525556424</v>
      </c>
      <c r="J56" s="1">
        <v>0.87171262778212</v>
      </c>
      <c r="K56" s="1" t="s">
        <v>2</v>
      </c>
      <c r="L56" s="1" t="s">
        <v>6</v>
      </c>
    </row>
    <row r="57" spans="1:12" ht="48" x14ac:dyDescent="0.2">
      <c r="A57" s="1" t="s">
        <v>114</v>
      </c>
      <c r="B57" s="1" t="s">
        <v>115</v>
      </c>
      <c r="C57" s="1" t="s">
        <v>132</v>
      </c>
      <c r="D57" s="1">
        <v>29</v>
      </c>
      <c r="E57" s="1">
        <v>343</v>
      </c>
      <c r="F57" s="1">
        <v>343</v>
      </c>
      <c r="G57" s="1" t="s">
        <v>2</v>
      </c>
      <c r="H57" s="4">
        <v>1.14713923608074</v>
      </c>
      <c r="I57" s="4">
        <f t="shared" si="1"/>
        <v>2.29427847216148</v>
      </c>
      <c r="J57" s="1">
        <v>1.14713923608074</v>
      </c>
      <c r="K57" s="1" t="s">
        <v>2</v>
      </c>
      <c r="L57" s="1" t="s">
        <v>3</v>
      </c>
    </row>
    <row r="58" spans="1:12" ht="48" x14ac:dyDescent="0.2">
      <c r="A58" s="1" t="s">
        <v>116</v>
      </c>
      <c r="B58" s="1" t="s">
        <v>117</v>
      </c>
      <c r="C58" s="1" t="s">
        <v>132</v>
      </c>
      <c r="D58" s="1">
        <v>30</v>
      </c>
      <c r="E58" s="1">
        <v>330</v>
      </c>
      <c r="F58" s="1">
        <v>330</v>
      </c>
      <c r="G58" s="1" t="s">
        <v>2</v>
      </c>
      <c r="H58" s="4">
        <v>1.0289650257319201</v>
      </c>
      <c r="I58" s="4">
        <f t="shared" si="1"/>
        <v>2.0579300514638401</v>
      </c>
      <c r="J58" s="1">
        <v>1.0289650257319201</v>
      </c>
      <c r="K58" s="1" t="s">
        <v>2</v>
      </c>
      <c r="L58" s="1" t="s">
        <v>3</v>
      </c>
    </row>
    <row r="59" spans="1:12" ht="48" x14ac:dyDescent="0.2">
      <c r="A59" s="1" t="s">
        <v>118</v>
      </c>
      <c r="B59" s="1" t="s">
        <v>119</v>
      </c>
      <c r="C59" s="1" t="s">
        <v>132</v>
      </c>
      <c r="D59" s="1">
        <v>31</v>
      </c>
      <c r="E59" s="1">
        <v>362</v>
      </c>
      <c r="F59" s="1">
        <v>362</v>
      </c>
      <c r="G59" s="1" t="s">
        <v>2</v>
      </c>
      <c r="H59" s="4">
        <v>1.31712835178512</v>
      </c>
      <c r="I59" s="4">
        <f t="shared" si="1"/>
        <v>2.63425670357024</v>
      </c>
      <c r="J59" s="1">
        <v>1.31712835178512</v>
      </c>
      <c r="K59" s="1" t="s">
        <v>2</v>
      </c>
      <c r="L59" s="1" t="s">
        <v>3</v>
      </c>
    </row>
    <row r="60" spans="1:12" ht="48" x14ac:dyDescent="0.2">
      <c r="A60" s="1" t="s">
        <v>120</v>
      </c>
      <c r="B60" s="1" t="s">
        <v>121</v>
      </c>
      <c r="C60" s="1" t="s">
        <v>132</v>
      </c>
      <c r="D60" s="1">
        <v>32</v>
      </c>
      <c r="E60" s="1">
        <v>285</v>
      </c>
      <c r="F60" s="1">
        <v>285</v>
      </c>
      <c r="G60" s="1" t="s">
        <v>2</v>
      </c>
      <c r="H60" s="4">
        <v>0.60403392188236205</v>
      </c>
      <c r="I60" s="4">
        <f t="shared" si="1"/>
        <v>1.2080678437647241</v>
      </c>
      <c r="J60" s="1">
        <v>0.60403392188236205</v>
      </c>
      <c r="K60" s="1" t="s">
        <v>2</v>
      </c>
      <c r="L60" s="1" t="s">
        <v>6</v>
      </c>
    </row>
    <row r="61" spans="1:12" x14ac:dyDescent="0.2">
      <c r="H61"/>
      <c r="I61"/>
    </row>
    <row r="62" spans="1:12" x14ac:dyDescent="0.2">
      <c r="H62"/>
      <c r="I62"/>
    </row>
    <row r="63" spans="1:12" x14ac:dyDescent="0.2">
      <c r="H63"/>
      <c r="I63"/>
    </row>
    <row r="64" spans="1:12" x14ac:dyDescent="0.2">
      <c r="H64"/>
      <c r="I64"/>
    </row>
    <row r="65" spans="8:9" x14ac:dyDescent="0.2">
      <c r="H65"/>
      <c r="I65"/>
    </row>
    <row r="66" spans="8:9" x14ac:dyDescent="0.2">
      <c r="H66"/>
      <c r="I66"/>
    </row>
    <row r="67" spans="8:9" x14ac:dyDescent="0.2">
      <c r="H67"/>
      <c r="I67"/>
    </row>
    <row r="68" spans="8:9" x14ac:dyDescent="0.2">
      <c r="H68"/>
      <c r="I68"/>
    </row>
    <row r="69" spans="8:9" x14ac:dyDescent="0.2">
      <c r="H69"/>
      <c r="I69"/>
    </row>
    <row r="70" spans="8:9" x14ac:dyDescent="0.2">
      <c r="H70"/>
      <c r="I70"/>
    </row>
    <row r="71" spans="8:9" x14ac:dyDescent="0.2">
      <c r="H71"/>
      <c r="I71"/>
    </row>
    <row r="72" spans="8:9" x14ac:dyDescent="0.2">
      <c r="H72"/>
      <c r="I72"/>
    </row>
    <row r="73" spans="8:9" x14ac:dyDescent="0.2">
      <c r="H73"/>
      <c r="I73"/>
    </row>
    <row r="74" spans="8:9" x14ac:dyDescent="0.2">
      <c r="H74"/>
      <c r="I74"/>
    </row>
    <row r="75" spans="8:9" x14ac:dyDescent="0.2">
      <c r="H75"/>
      <c r="I75"/>
    </row>
    <row r="76" spans="8:9" x14ac:dyDescent="0.2">
      <c r="H76"/>
      <c r="I76"/>
    </row>
    <row r="77" spans="8:9" x14ac:dyDescent="0.2">
      <c r="H77"/>
      <c r="I77"/>
    </row>
    <row r="78" spans="8:9" x14ac:dyDescent="0.2">
      <c r="H78"/>
      <c r="I78"/>
    </row>
    <row r="79" spans="8:9" x14ac:dyDescent="0.2">
      <c r="H79"/>
      <c r="I79"/>
    </row>
    <row r="80" spans="8:9" x14ac:dyDescent="0.2">
      <c r="H80"/>
      <c r="I80"/>
    </row>
    <row r="81" spans="8:9" x14ac:dyDescent="0.2">
      <c r="H81"/>
      <c r="I8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O81"/>
  <sheetViews>
    <sheetView workbookViewId="0">
      <selection activeCell="H2" sqref="H2"/>
    </sheetView>
  </sheetViews>
  <sheetFormatPr baseColWidth="10" defaultColWidth="8.83203125" defaultRowHeight="15" x14ac:dyDescent="0.2"/>
  <cols>
    <col min="8" max="8" width="8.6640625" style="5"/>
    <col min="9" max="9" width="8.83203125" style="5"/>
  </cols>
  <sheetData>
    <row r="1" spans="1:15" s="2" customFormat="1" x14ac:dyDescent="0.2">
      <c r="A1" s="2" t="s">
        <v>122</v>
      </c>
      <c r="B1" s="2" t="s">
        <v>125</v>
      </c>
      <c r="C1" s="2" t="s">
        <v>133</v>
      </c>
      <c r="D1" s="2" t="s">
        <v>134</v>
      </c>
      <c r="E1" s="2" t="s">
        <v>126</v>
      </c>
      <c r="F1" s="2" t="s">
        <v>127</v>
      </c>
      <c r="G1" s="2" t="s">
        <v>123</v>
      </c>
      <c r="H1" s="3" t="s">
        <v>128</v>
      </c>
      <c r="I1" s="3" t="s">
        <v>135</v>
      </c>
      <c r="J1" s="2" t="s">
        <v>129</v>
      </c>
      <c r="K1" s="2" t="s">
        <v>130</v>
      </c>
      <c r="L1" s="2" t="s">
        <v>124</v>
      </c>
      <c r="N1" s="2" t="s">
        <v>125</v>
      </c>
      <c r="O1" s="2" t="s">
        <v>136</v>
      </c>
    </row>
    <row r="2" spans="1:15" ht="48" x14ac:dyDescent="0.2">
      <c r="A2" s="1" t="s">
        <v>0</v>
      </c>
      <c r="B2" s="1" t="s">
        <v>1</v>
      </c>
      <c r="C2" s="1" t="s">
        <v>131</v>
      </c>
      <c r="D2" s="1">
        <v>4</v>
      </c>
      <c r="E2" s="1">
        <v>10137</v>
      </c>
      <c r="F2" s="1">
        <v>10137</v>
      </c>
      <c r="G2" s="1" t="s">
        <v>2</v>
      </c>
      <c r="H2" s="4">
        <v>319.907009749118</v>
      </c>
      <c r="I2" s="4">
        <f>IF(H2="NaN",0,H2*2)</f>
        <v>639.81401949823601</v>
      </c>
      <c r="J2" s="1">
        <v>319.907009749118</v>
      </c>
      <c r="K2" s="1" t="s">
        <v>2</v>
      </c>
      <c r="L2" s="1" t="s">
        <v>3</v>
      </c>
      <c r="N2" s="1" t="s">
        <v>1</v>
      </c>
      <c r="O2" s="4">
        <v>2</v>
      </c>
    </row>
    <row r="3" spans="1:15" ht="48" x14ac:dyDescent="0.2">
      <c r="A3" s="1" t="s">
        <v>4</v>
      </c>
      <c r="B3" s="1" t="s">
        <v>5</v>
      </c>
      <c r="C3" s="1" t="s">
        <v>131</v>
      </c>
      <c r="D3" s="1">
        <v>5</v>
      </c>
      <c r="E3" s="1">
        <v>18866</v>
      </c>
      <c r="F3" s="1">
        <v>18866</v>
      </c>
      <c r="G3" s="1" t="s">
        <v>2</v>
      </c>
      <c r="H3" s="4">
        <v>577.34074830152701</v>
      </c>
      <c r="I3" s="4">
        <f>IF(H3="NaN",0,H3*4)</f>
        <v>2309.3629932061081</v>
      </c>
      <c r="J3" s="1">
        <v>577.34074830152701</v>
      </c>
      <c r="K3" s="1" t="s">
        <v>2</v>
      </c>
      <c r="L3" s="1" t="s">
        <v>3</v>
      </c>
      <c r="N3" s="1" t="s">
        <v>5</v>
      </c>
      <c r="O3" s="4">
        <v>4</v>
      </c>
    </row>
    <row r="4" spans="1:15" ht="48" x14ac:dyDescent="0.2">
      <c r="A4" s="1" t="s">
        <v>7</v>
      </c>
      <c r="B4" s="1" t="s">
        <v>8</v>
      </c>
      <c r="C4" s="1" t="s">
        <v>131</v>
      </c>
      <c r="D4" s="1">
        <v>6</v>
      </c>
      <c r="E4" s="1">
        <v>13780</v>
      </c>
      <c r="F4" s="1">
        <v>13780</v>
      </c>
      <c r="G4" s="1" t="s">
        <v>2</v>
      </c>
      <c r="H4" s="4">
        <v>428.67582547374701</v>
      </c>
      <c r="I4" s="4">
        <f>IF(H4="NaN",0,H4*4)</f>
        <v>1714.703301894988</v>
      </c>
      <c r="J4" s="1">
        <v>428.67582547374701</v>
      </c>
      <c r="K4" s="1" t="s">
        <v>2</v>
      </c>
      <c r="L4" s="1" t="s">
        <v>3</v>
      </c>
      <c r="N4" s="1" t="s">
        <v>8</v>
      </c>
      <c r="O4" s="4">
        <v>4</v>
      </c>
    </row>
    <row r="5" spans="1:15" ht="48" x14ac:dyDescent="0.2">
      <c r="A5" s="1" t="s">
        <v>9</v>
      </c>
      <c r="B5" s="1" t="s">
        <v>10</v>
      </c>
      <c r="C5" s="1" t="s">
        <v>131</v>
      </c>
      <c r="D5" s="1">
        <v>7</v>
      </c>
      <c r="E5" s="1">
        <v>3353</v>
      </c>
      <c r="F5" s="1">
        <v>3353</v>
      </c>
      <c r="G5" s="1" t="s">
        <v>2</v>
      </c>
      <c r="H5" s="4">
        <v>108.50554686717101</v>
      </c>
      <c r="I5" s="4">
        <f t="shared" ref="I5:I14" si="0">IF(H5="NaN",0,H5*4)</f>
        <v>434.02218746868402</v>
      </c>
      <c r="J5" s="1">
        <v>108.50554686717101</v>
      </c>
      <c r="K5" s="1" t="s">
        <v>2</v>
      </c>
      <c r="L5" s="1" t="s">
        <v>3</v>
      </c>
      <c r="N5" s="1" t="s">
        <v>10</v>
      </c>
      <c r="O5" s="4">
        <v>4</v>
      </c>
    </row>
    <row r="6" spans="1:15" ht="48" x14ac:dyDescent="0.2">
      <c r="A6" s="1" t="s">
        <v>11</v>
      </c>
      <c r="B6" s="1" t="s">
        <v>12</v>
      </c>
      <c r="C6" s="1" t="s">
        <v>131</v>
      </c>
      <c r="D6" s="1">
        <v>8</v>
      </c>
      <c r="E6" s="1">
        <v>24958</v>
      </c>
      <c r="F6" s="1">
        <v>24958</v>
      </c>
      <c r="G6" s="1" t="s">
        <v>2</v>
      </c>
      <c r="H6" s="4">
        <v>751.87721092851405</v>
      </c>
      <c r="I6" s="4">
        <f t="shared" si="0"/>
        <v>3007.5088437140562</v>
      </c>
      <c r="J6" s="1">
        <v>751.87721092851405</v>
      </c>
      <c r="K6" s="1" t="s">
        <v>2</v>
      </c>
      <c r="L6" s="1" t="s">
        <v>3</v>
      </c>
      <c r="N6" s="1" t="s">
        <v>12</v>
      </c>
      <c r="O6" s="4">
        <v>4</v>
      </c>
    </row>
    <row r="7" spans="1:15" ht="48" x14ac:dyDescent="0.2">
      <c r="A7" s="1" t="s">
        <v>13</v>
      </c>
      <c r="B7" s="1" t="s">
        <v>14</v>
      </c>
      <c r="C7" s="1" t="s">
        <v>131</v>
      </c>
      <c r="D7" s="1">
        <v>9</v>
      </c>
      <c r="E7" s="1">
        <v>18148</v>
      </c>
      <c r="F7" s="1">
        <v>18148</v>
      </c>
      <c r="G7" s="1" t="s">
        <v>2</v>
      </c>
      <c r="H7" s="4">
        <v>556.537923206914</v>
      </c>
      <c r="I7" s="4">
        <f t="shared" si="0"/>
        <v>2226.151692827656</v>
      </c>
      <c r="J7" s="1">
        <v>556.537923206914</v>
      </c>
      <c r="K7" s="1" t="s">
        <v>2</v>
      </c>
      <c r="L7" s="1" t="s">
        <v>3</v>
      </c>
      <c r="N7" s="1" t="s">
        <v>14</v>
      </c>
      <c r="O7" s="4">
        <v>4</v>
      </c>
    </row>
    <row r="8" spans="1:15" ht="48" x14ac:dyDescent="0.2">
      <c r="A8" s="1" t="s">
        <v>15</v>
      </c>
      <c r="B8" s="1" t="s">
        <v>16</v>
      </c>
      <c r="C8" s="1" t="s">
        <v>131</v>
      </c>
      <c r="D8" s="1">
        <v>10</v>
      </c>
      <c r="E8" s="1">
        <v>15819</v>
      </c>
      <c r="F8" s="1">
        <v>15819</v>
      </c>
      <c r="G8" s="1" t="s">
        <v>2</v>
      </c>
      <c r="H8" s="4">
        <v>488.66059724672402</v>
      </c>
      <c r="I8" s="4">
        <f t="shared" si="0"/>
        <v>1954.6423889868961</v>
      </c>
      <c r="J8" s="1">
        <v>488.66059724672402</v>
      </c>
      <c r="K8" s="1" t="s">
        <v>2</v>
      </c>
      <c r="L8" s="1" t="s">
        <v>3</v>
      </c>
      <c r="N8" s="1" t="s">
        <v>16</v>
      </c>
      <c r="O8" s="4">
        <v>4</v>
      </c>
    </row>
    <row r="9" spans="1:15" ht="48" x14ac:dyDescent="0.2">
      <c r="A9" s="1" t="s">
        <v>17</v>
      </c>
      <c r="B9" s="1" t="s">
        <v>18</v>
      </c>
      <c r="C9" s="1" t="s">
        <v>131</v>
      </c>
      <c r="D9" s="1">
        <v>11</v>
      </c>
      <c r="E9" s="1">
        <v>247</v>
      </c>
      <c r="F9" s="1">
        <v>247</v>
      </c>
      <c r="G9" s="1" t="s">
        <v>2</v>
      </c>
      <c r="H9" s="4" t="s">
        <v>2</v>
      </c>
      <c r="I9" s="4">
        <f t="shared" si="0"/>
        <v>0</v>
      </c>
      <c r="J9" s="1" t="s">
        <v>2</v>
      </c>
      <c r="K9" s="1" t="s">
        <v>2</v>
      </c>
      <c r="L9" s="1" t="s">
        <v>19</v>
      </c>
      <c r="N9" s="1" t="s">
        <v>18</v>
      </c>
      <c r="O9" s="4">
        <v>4</v>
      </c>
    </row>
    <row r="10" spans="1:15" ht="48" x14ac:dyDescent="0.2">
      <c r="A10" s="1" t="s">
        <v>20</v>
      </c>
      <c r="B10" s="1" t="s">
        <v>21</v>
      </c>
      <c r="C10" s="1" t="s">
        <v>131</v>
      </c>
      <c r="D10" s="1">
        <v>12</v>
      </c>
      <c r="E10" s="1">
        <v>14945</v>
      </c>
      <c r="F10" s="1">
        <v>14945</v>
      </c>
      <c r="G10" s="1" t="s">
        <v>2</v>
      </c>
      <c r="H10" s="4">
        <v>463.01740295456801</v>
      </c>
      <c r="I10" s="4">
        <f t="shared" si="0"/>
        <v>1852.0696118182721</v>
      </c>
      <c r="J10" s="1">
        <v>463.01740295456801</v>
      </c>
      <c r="K10" s="1" t="s">
        <v>2</v>
      </c>
      <c r="L10" s="1" t="s">
        <v>3</v>
      </c>
      <c r="N10" s="1" t="s">
        <v>21</v>
      </c>
      <c r="O10" s="4">
        <v>4</v>
      </c>
    </row>
    <row r="11" spans="1:15" ht="48" x14ac:dyDescent="0.2">
      <c r="A11" s="1" t="s">
        <v>22</v>
      </c>
      <c r="B11" s="1" t="s">
        <v>23</v>
      </c>
      <c r="C11" s="1" t="s">
        <v>131</v>
      </c>
      <c r="D11" s="1">
        <v>13</v>
      </c>
      <c r="E11" s="1">
        <v>279</v>
      </c>
      <c r="F11" s="1">
        <v>279</v>
      </c>
      <c r="G11" s="1" t="s">
        <v>2</v>
      </c>
      <c r="H11" s="4">
        <v>1.37067725192853</v>
      </c>
      <c r="I11" s="4">
        <f t="shared" si="0"/>
        <v>5.4827090077141198</v>
      </c>
      <c r="J11" s="1">
        <v>1.37067725192853</v>
      </c>
      <c r="K11" s="1" t="s">
        <v>2</v>
      </c>
      <c r="L11" s="1" t="s">
        <v>6</v>
      </c>
      <c r="N11" s="1" t="s">
        <v>23</v>
      </c>
      <c r="O11" s="4">
        <v>4</v>
      </c>
    </row>
    <row r="12" spans="1:15" ht="48" x14ac:dyDescent="0.2">
      <c r="A12" s="1" t="s">
        <v>24</v>
      </c>
      <c r="B12" s="1" t="s">
        <v>25</v>
      </c>
      <c r="C12" s="1" t="s">
        <v>131</v>
      </c>
      <c r="D12" s="1">
        <v>14</v>
      </c>
      <c r="E12" s="1">
        <v>15261</v>
      </c>
      <c r="F12" s="1">
        <v>15261</v>
      </c>
      <c r="G12" s="1" t="s">
        <v>2</v>
      </c>
      <c r="H12" s="4">
        <v>472.30033986876998</v>
      </c>
      <c r="I12" s="4">
        <f t="shared" si="0"/>
        <v>1889.2013594750799</v>
      </c>
      <c r="J12" s="1">
        <v>472.30033986876998</v>
      </c>
      <c r="K12" s="1" t="s">
        <v>2</v>
      </c>
      <c r="L12" s="1" t="s">
        <v>3</v>
      </c>
      <c r="N12" s="1" t="s">
        <v>25</v>
      </c>
      <c r="O12" s="4">
        <v>4</v>
      </c>
    </row>
    <row r="13" spans="1:15" ht="48" x14ac:dyDescent="0.2">
      <c r="A13" s="1" t="s">
        <v>26</v>
      </c>
      <c r="B13" s="1" t="s">
        <v>27</v>
      </c>
      <c r="C13" s="1" t="s">
        <v>131</v>
      </c>
      <c r="D13" s="1">
        <v>15</v>
      </c>
      <c r="E13" s="1">
        <v>13436</v>
      </c>
      <c r="F13" s="1">
        <v>13436</v>
      </c>
      <c r="G13" s="1" t="s">
        <v>2</v>
      </c>
      <c r="H13" s="4">
        <v>418.498273571195</v>
      </c>
      <c r="I13" s="4">
        <f t="shared" si="0"/>
        <v>1673.99309428478</v>
      </c>
      <c r="J13" s="1">
        <v>418.498273571195</v>
      </c>
      <c r="K13" s="1" t="s">
        <v>2</v>
      </c>
      <c r="L13" s="1" t="s">
        <v>3</v>
      </c>
      <c r="N13" s="1" t="s">
        <v>27</v>
      </c>
      <c r="O13" s="4">
        <v>4</v>
      </c>
    </row>
    <row r="14" spans="1:15" ht="48" x14ac:dyDescent="0.2">
      <c r="A14" s="1" t="s">
        <v>28</v>
      </c>
      <c r="B14" s="1" t="s">
        <v>29</v>
      </c>
      <c r="C14" s="1" t="s">
        <v>131</v>
      </c>
      <c r="D14" s="1">
        <v>16</v>
      </c>
      <c r="E14" s="1">
        <v>6845</v>
      </c>
      <c r="F14" s="1">
        <v>6845</v>
      </c>
      <c r="G14" s="1" t="s">
        <v>2</v>
      </c>
      <c r="H14" s="4">
        <v>219.258175569088</v>
      </c>
      <c r="I14" s="4">
        <f t="shared" si="0"/>
        <v>877.03270227635198</v>
      </c>
      <c r="J14" s="1">
        <v>219.258175569088</v>
      </c>
      <c r="K14" s="1" t="s">
        <v>2</v>
      </c>
      <c r="L14" s="1" t="s">
        <v>3</v>
      </c>
      <c r="N14" s="1" t="s">
        <v>29</v>
      </c>
      <c r="O14" s="4">
        <v>4</v>
      </c>
    </row>
    <row r="15" spans="1:15" ht="48" x14ac:dyDescent="0.2">
      <c r="A15" s="1" t="s">
        <v>30</v>
      </c>
      <c r="B15" s="1" t="s">
        <v>31</v>
      </c>
      <c r="C15" s="1" t="s">
        <v>131</v>
      </c>
      <c r="D15" s="1">
        <v>17</v>
      </c>
      <c r="E15" s="1">
        <v>320</v>
      </c>
      <c r="F15" s="1">
        <v>320</v>
      </c>
      <c r="G15" s="1" t="s">
        <v>2</v>
      </c>
      <c r="H15" s="4">
        <v>3.1410125931998101</v>
      </c>
      <c r="I15" s="4">
        <f t="shared" ref="I15:I60" si="1">IF(H15="NaN",0,H15*2)</f>
        <v>6.2820251863996202</v>
      </c>
      <c r="J15" s="1">
        <v>3.1410125931998101</v>
      </c>
      <c r="K15" s="1" t="s">
        <v>2</v>
      </c>
      <c r="L15" s="1" t="s">
        <v>6</v>
      </c>
      <c r="N15" s="1" t="s">
        <v>31</v>
      </c>
      <c r="O15" s="4">
        <v>2</v>
      </c>
    </row>
    <row r="16" spans="1:15" ht="48" x14ac:dyDescent="0.2">
      <c r="A16" s="1" t="s">
        <v>32</v>
      </c>
      <c r="B16" s="1" t="s">
        <v>33</v>
      </c>
      <c r="C16" s="1" t="s">
        <v>131</v>
      </c>
      <c r="D16" s="1">
        <v>18</v>
      </c>
      <c r="E16" s="1">
        <v>329</v>
      </c>
      <c r="F16" s="1">
        <v>329</v>
      </c>
      <c r="G16" s="1" t="s">
        <v>2</v>
      </c>
      <c r="H16" s="4">
        <v>3.5182335448261002</v>
      </c>
      <c r="I16" s="4">
        <f t="shared" si="1"/>
        <v>7.0364670896522004</v>
      </c>
      <c r="J16" s="1">
        <v>3.5182335448261002</v>
      </c>
      <c r="K16" s="1" t="s">
        <v>2</v>
      </c>
      <c r="L16" s="1" t="s">
        <v>6</v>
      </c>
      <c r="N16" s="1" t="s">
        <v>33</v>
      </c>
      <c r="O16" s="4">
        <v>2</v>
      </c>
    </row>
    <row r="17" spans="1:15" ht="48" x14ac:dyDescent="0.2">
      <c r="A17" s="1" t="s">
        <v>34</v>
      </c>
      <c r="B17" s="1" t="s">
        <v>35</v>
      </c>
      <c r="C17" s="1" t="s">
        <v>131</v>
      </c>
      <c r="D17" s="1">
        <v>19</v>
      </c>
      <c r="E17" s="1">
        <v>403</v>
      </c>
      <c r="F17" s="1">
        <v>403</v>
      </c>
      <c r="G17" s="1" t="s">
        <v>2</v>
      </c>
      <c r="H17" s="4">
        <v>6.5323832746808401</v>
      </c>
      <c r="I17" s="4">
        <f t="shared" si="1"/>
        <v>13.06476654936168</v>
      </c>
      <c r="J17" s="1">
        <v>6.5323832746808401</v>
      </c>
      <c r="K17" s="1" t="s">
        <v>2</v>
      </c>
      <c r="L17" s="1" t="s">
        <v>6</v>
      </c>
      <c r="N17" s="1" t="s">
        <v>35</v>
      </c>
      <c r="O17" s="4">
        <v>2</v>
      </c>
    </row>
    <row r="18" spans="1:15" ht="48" x14ac:dyDescent="0.2">
      <c r="A18" s="1" t="s">
        <v>36</v>
      </c>
      <c r="B18" s="1" t="s">
        <v>37</v>
      </c>
      <c r="C18" s="1" t="s">
        <v>131</v>
      </c>
      <c r="D18" s="1">
        <v>20</v>
      </c>
      <c r="E18" s="1">
        <v>405</v>
      </c>
      <c r="F18" s="1">
        <v>405</v>
      </c>
      <c r="G18" s="1" t="s">
        <v>2</v>
      </c>
      <c r="H18" s="4">
        <v>6.6122082314346997</v>
      </c>
      <c r="I18" s="4">
        <f t="shared" si="1"/>
        <v>13.224416462869399</v>
      </c>
      <c r="J18" s="1">
        <v>6.6122082314346997</v>
      </c>
      <c r="K18" s="1" t="s">
        <v>2</v>
      </c>
      <c r="L18" s="1" t="s">
        <v>6</v>
      </c>
      <c r="N18" s="1" t="s">
        <v>37</v>
      </c>
      <c r="O18" s="4">
        <v>2</v>
      </c>
    </row>
    <row r="19" spans="1:15" ht="48" x14ac:dyDescent="0.2">
      <c r="A19" s="1" t="s">
        <v>38</v>
      </c>
      <c r="B19" s="1" t="s">
        <v>39</v>
      </c>
      <c r="C19" s="1" t="s">
        <v>131</v>
      </c>
      <c r="D19" s="1">
        <v>21</v>
      </c>
      <c r="E19" s="1">
        <v>502</v>
      </c>
      <c r="F19" s="1">
        <v>502</v>
      </c>
      <c r="G19" s="1" t="s">
        <v>2</v>
      </c>
      <c r="H19" s="4">
        <v>10.414504486002899</v>
      </c>
      <c r="I19" s="4">
        <f t="shared" si="1"/>
        <v>20.829008972005798</v>
      </c>
      <c r="J19" s="1">
        <v>10.414504486002899</v>
      </c>
      <c r="K19" s="1" t="s">
        <v>2</v>
      </c>
      <c r="L19" s="1" t="s">
        <v>3</v>
      </c>
      <c r="N19" s="1" t="s">
        <v>39</v>
      </c>
      <c r="O19" s="4">
        <v>2</v>
      </c>
    </row>
    <row r="20" spans="1:15" ht="48" x14ac:dyDescent="0.2">
      <c r="A20" s="1" t="s">
        <v>40</v>
      </c>
      <c r="B20" s="1" t="s">
        <v>41</v>
      </c>
      <c r="C20" s="1" t="s">
        <v>131</v>
      </c>
      <c r="D20" s="1">
        <v>22</v>
      </c>
      <c r="E20" s="1">
        <v>652</v>
      </c>
      <c r="F20" s="1">
        <v>652</v>
      </c>
      <c r="G20" s="1" t="s">
        <v>2</v>
      </c>
      <c r="H20" s="4">
        <v>16.109694748341798</v>
      </c>
      <c r="I20" s="4">
        <f t="shared" si="1"/>
        <v>32.219389496683597</v>
      </c>
      <c r="J20" s="1">
        <v>16.109694748341798</v>
      </c>
      <c r="K20" s="1" t="s">
        <v>2</v>
      </c>
      <c r="L20" s="1" t="s">
        <v>3</v>
      </c>
      <c r="N20" s="1" t="s">
        <v>41</v>
      </c>
      <c r="O20" s="4">
        <v>2</v>
      </c>
    </row>
    <row r="21" spans="1:15" ht="48" x14ac:dyDescent="0.2">
      <c r="A21" s="1" t="s">
        <v>42</v>
      </c>
      <c r="B21" s="1" t="s">
        <v>43</v>
      </c>
      <c r="C21" s="1" t="s">
        <v>131</v>
      </c>
      <c r="D21" s="1">
        <v>23</v>
      </c>
      <c r="E21" s="1">
        <v>920</v>
      </c>
      <c r="F21" s="1">
        <v>920</v>
      </c>
      <c r="G21" s="1" t="s">
        <v>2</v>
      </c>
      <c r="H21" s="4">
        <v>25.954315176168901</v>
      </c>
      <c r="I21" s="4">
        <f t="shared" si="1"/>
        <v>51.908630352337802</v>
      </c>
      <c r="J21" s="1">
        <v>25.954315176168901</v>
      </c>
      <c r="K21" s="1" t="s">
        <v>2</v>
      </c>
      <c r="L21" s="1" t="s">
        <v>3</v>
      </c>
      <c r="N21" s="1" t="s">
        <v>43</v>
      </c>
      <c r="O21" s="4">
        <v>2</v>
      </c>
    </row>
    <row r="22" spans="1:15" ht="48" x14ac:dyDescent="0.2">
      <c r="A22" s="1" t="s">
        <v>44</v>
      </c>
      <c r="B22" s="1" t="s">
        <v>45</v>
      </c>
      <c r="C22" s="1" t="s">
        <v>131</v>
      </c>
      <c r="D22" s="1">
        <v>24</v>
      </c>
      <c r="E22" s="1">
        <v>599</v>
      </c>
      <c r="F22" s="1">
        <v>599</v>
      </c>
      <c r="G22" s="1" t="s">
        <v>2</v>
      </c>
      <c r="H22" s="4">
        <v>14.1171468804543</v>
      </c>
      <c r="I22" s="4">
        <f t="shared" si="1"/>
        <v>28.234293760908599</v>
      </c>
      <c r="J22" s="1">
        <v>14.1171468804543</v>
      </c>
      <c r="K22" s="1" t="s">
        <v>2</v>
      </c>
      <c r="L22" s="1" t="s">
        <v>3</v>
      </c>
      <c r="N22" s="1" t="s">
        <v>45</v>
      </c>
      <c r="O22" s="4">
        <v>2</v>
      </c>
    </row>
    <row r="23" spans="1:15" ht="48" x14ac:dyDescent="0.2">
      <c r="A23" s="1" t="s">
        <v>46</v>
      </c>
      <c r="B23" s="1" t="s">
        <v>47</v>
      </c>
      <c r="C23" s="1" t="s">
        <v>131</v>
      </c>
      <c r="D23" s="1">
        <v>25</v>
      </c>
      <c r="E23" s="1">
        <v>274</v>
      </c>
      <c r="F23" s="1">
        <v>274</v>
      </c>
      <c r="G23" s="1" t="s">
        <v>2</v>
      </c>
      <c r="H23" s="4">
        <v>1.14591357556846</v>
      </c>
      <c r="I23" s="4">
        <f>IF(H23="NaN",0,H23*2)</f>
        <v>2.2918271511369199</v>
      </c>
      <c r="J23" s="1">
        <v>1.14591357556846</v>
      </c>
      <c r="K23" s="1" t="s">
        <v>2</v>
      </c>
      <c r="L23" s="1" t="s">
        <v>6</v>
      </c>
      <c r="N23" s="1" t="s">
        <v>47</v>
      </c>
      <c r="O23" s="4">
        <v>2</v>
      </c>
    </row>
    <row r="24" spans="1:15" ht="48" x14ac:dyDescent="0.2">
      <c r="A24" s="1" t="s">
        <v>48</v>
      </c>
      <c r="B24" s="1" t="s">
        <v>49</v>
      </c>
      <c r="C24" s="1" t="s">
        <v>131</v>
      </c>
      <c r="D24" s="1">
        <v>26</v>
      </c>
      <c r="E24" s="1">
        <v>336</v>
      </c>
      <c r="F24" s="1">
        <v>336</v>
      </c>
      <c r="G24" s="1" t="s">
        <v>2</v>
      </c>
      <c r="H24" s="4">
        <v>3.80961139990072</v>
      </c>
      <c r="I24" s="4">
        <f t="shared" si="1"/>
        <v>7.6192227998014399</v>
      </c>
      <c r="J24" s="1">
        <v>3.80961139990072</v>
      </c>
      <c r="K24" s="1" t="s">
        <v>2</v>
      </c>
      <c r="L24" s="1" t="s">
        <v>6</v>
      </c>
      <c r="N24" s="1" t="s">
        <v>49</v>
      </c>
      <c r="O24" s="4">
        <v>2</v>
      </c>
    </row>
    <row r="25" spans="1:15" ht="48" x14ac:dyDescent="0.2">
      <c r="A25" s="1" t="s">
        <v>50</v>
      </c>
      <c r="B25" s="1" t="s">
        <v>51</v>
      </c>
      <c r="C25" s="1" t="s">
        <v>131</v>
      </c>
      <c r="D25" s="1">
        <v>27</v>
      </c>
      <c r="E25" s="1">
        <v>353</v>
      </c>
      <c r="F25" s="1">
        <v>353</v>
      </c>
      <c r="G25" s="1" t="s">
        <v>2</v>
      </c>
      <c r="H25" s="4">
        <v>4.5108537772412696</v>
      </c>
      <c r="I25" s="4">
        <f t="shared" si="1"/>
        <v>9.0217075544825391</v>
      </c>
      <c r="J25" s="1">
        <v>4.5108537772412696</v>
      </c>
      <c r="K25" s="1" t="s">
        <v>2</v>
      </c>
      <c r="L25" s="1" t="s">
        <v>6</v>
      </c>
      <c r="N25" s="1" t="s">
        <v>51</v>
      </c>
      <c r="O25" s="4">
        <v>2</v>
      </c>
    </row>
    <row r="26" spans="1:15" ht="48" x14ac:dyDescent="0.2">
      <c r="A26" s="1" t="s">
        <v>52</v>
      </c>
      <c r="B26" s="1" t="s">
        <v>53</v>
      </c>
      <c r="C26" s="1" t="s">
        <v>131</v>
      </c>
      <c r="D26" s="1">
        <v>28</v>
      </c>
      <c r="E26" s="1">
        <v>301</v>
      </c>
      <c r="F26" s="1">
        <v>301</v>
      </c>
      <c r="G26" s="1" t="s">
        <v>2</v>
      </c>
      <c r="H26" s="4">
        <v>2.3331919283660998</v>
      </c>
      <c r="I26" s="4">
        <f>IF(H26="NaN",0,H26*4)</f>
        <v>9.3327677134643992</v>
      </c>
      <c r="J26" s="1">
        <v>2.3331919283660998</v>
      </c>
      <c r="K26" s="1" t="s">
        <v>2</v>
      </c>
      <c r="L26" s="1" t="s">
        <v>6</v>
      </c>
      <c r="N26" s="1" t="s">
        <v>53</v>
      </c>
      <c r="O26" s="4">
        <v>4</v>
      </c>
    </row>
    <row r="27" spans="1:15" ht="48" x14ac:dyDescent="0.2">
      <c r="A27" s="1" t="s">
        <v>54</v>
      </c>
      <c r="B27" s="1" t="s">
        <v>55</v>
      </c>
      <c r="C27" s="1" t="s">
        <v>131</v>
      </c>
      <c r="D27" s="1">
        <v>29</v>
      </c>
      <c r="E27" s="1">
        <v>325</v>
      </c>
      <c r="F27" s="1">
        <v>325</v>
      </c>
      <c r="G27" s="1" t="s">
        <v>2</v>
      </c>
      <c r="H27" s="4">
        <v>3.3509583332830601</v>
      </c>
      <c r="I27" s="4">
        <f t="shared" si="1"/>
        <v>6.7019166665661203</v>
      </c>
      <c r="J27" s="1">
        <v>3.3509583332830601</v>
      </c>
      <c r="K27" s="1" t="s">
        <v>2</v>
      </c>
      <c r="L27" s="1" t="s">
        <v>6</v>
      </c>
      <c r="N27" s="1" t="s">
        <v>55</v>
      </c>
      <c r="O27" s="4">
        <v>2</v>
      </c>
    </row>
    <row r="28" spans="1:15" ht="48" x14ac:dyDescent="0.2">
      <c r="A28" s="1" t="s">
        <v>56</v>
      </c>
      <c r="B28" s="1" t="s">
        <v>57</v>
      </c>
      <c r="C28" s="1" t="s">
        <v>131</v>
      </c>
      <c r="D28" s="1">
        <v>30</v>
      </c>
      <c r="E28" s="1">
        <v>355</v>
      </c>
      <c r="F28" s="1">
        <v>355</v>
      </c>
      <c r="G28" s="1" t="s">
        <v>2</v>
      </c>
      <c r="H28" s="4">
        <v>4.5928146861178103</v>
      </c>
      <c r="I28" s="4">
        <f t="shared" si="1"/>
        <v>9.1856293722356206</v>
      </c>
      <c r="J28" s="1">
        <v>4.5928146861178103</v>
      </c>
      <c r="K28" s="1" t="s">
        <v>2</v>
      </c>
      <c r="L28" s="1" t="s">
        <v>6</v>
      </c>
      <c r="N28" s="1" t="s">
        <v>57</v>
      </c>
      <c r="O28" s="4">
        <v>2</v>
      </c>
    </row>
    <row r="29" spans="1:15" ht="48" x14ac:dyDescent="0.2">
      <c r="A29" s="1" t="s">
        <v>58</v>
      </c>
      <c r="B29" s="1" t="s">
        <v>59</v>
      </c>
      <c r="C29" s="1" t="s">
        <v>131</v>
      </c>
      <c r="D29" s="1">
        <v>31</v>
      </c>
      <c r="E29" s="1">
        <v>466</v>
      </c>
      <c r="F29" s="1">
        <v>466</v>
      </c>
      <c r="G29" s="1" t="s">
        <v>2</v>
      </c>
      <c r="H29" s="4">
        <v>9.0173889888526997</v>
      </c>
      <c r="I29" s="4">
        <f t="shared" si="1"/>
        <v>18.034777977705399</v>
      </c>
      <c r="J29" s="1">
        <v>9.0173889888526997</v>
      </c>
      <c r="K29" s="1" t="s">
        <v>2</v>
      </c>
      <c r="L29" s="1" t="s">
        <v>3</v>
      </c>
      <c r="N29" s="1" t="s">
        <v>59</v>
      </c>
      <c r="O29" s="4">
        <v>2</v>
      </c>
    </row>
    <row r="30" spans="1:15" ht="48" x14ac:dyDescent="0.2">
      <c r="A30" s="1" t="s">
        <v>60</v>
      </c>
      <c r="B30" s="1" t="s">
        <v>61</v>
      </c>
      <c r="C30" s="1" t="s">
        <v>131</v>
      </c>
      <c r="D30" s="1">
        <v>32</v>
      </c>
      <c r="E30" s="1">
        <v>372</v>
      </c>
      <c r="F30" s="1">
        <v>372</v>
      </c>
      <c r="G30" s="1" t="s">
        <v>2</v>
      </c>
      <c r="H30" s="4">
        <v>5.2854422299939401</v>
      </c>
      <c r="I30" s="4">
        <f t="shared" si="1"/>
        <v>10.57088445998788</v>
      </c>
      <c r="J30" s="1">
        <v>5.2854422299939401</v>
      </c>
      <c r="K30" s="1" t="s">
        <v>2</v>
      </c>
      <c r="L30" s="1" t="s">
        <v>6</v>
      </c>
      <c r="N30" s="1" t="s">
        <v>61</v>
      </c>
      <c r="O30" s="4">
        <v>2</v>
      </c>
    </row>
    <row r="31" spans="1:15" ht="48" x14ac:dyDescent="0.2">
      <c r="A31" s="1" t="s">
        <v>62</v>
      </c>
      <c r="B31" s="1" t="s">
        <v>63</v>
      </c>
      <c r="C31" s="1" t="s">
        <v>132</v>
      </c>
      <c r="D31" s="1">
        <v>3</v>
      </c>
      <c r="E31" s="1">
        <v>749</v>
      </c>
      <c r="F31" s="1">
        <v>749</v>
      </c>
      <c r="G31" s="1" t="s">
        <v>2</v>
      </c>
      <c r="H31" s="4">
        <v>19.712415592958202</v>
      </c>
      <c r="I31" s="4">
        <f t="shared" si="1"/>
        <v>39.424831185916403</v>
      </c>
      <c r="J31" s="1">
        <v>19.712415592958202</v>
      </c>
      <c r="K31" s="1" t="s">
        <v>2</v>
      </c>
      <c r="L31" s="1" t="s">
        <v>3</v>
      </c>
    </row>
    <row r="32" spans="1:15" ht="48" x14ac:dyDescent="0.2">
      <c r="A32" s="1" t="s">
        <v>64</v>
      </c>
      <c r="B32" s="1" t="s">
        <v>65</v>
      </c>
      <c r="C32" s="1" t="s">
        <v>132</v>
      </c>
      <c r="D32" s="1">
        <v>4</v>
      </c>
      <c r="E32" s="1">
        <v>555</v>
      </c>
      <c r="F32" s="1">
        <v>555</v>
      </c>
      <c r="G32" s="1" t="s">
        <v>2</v>
      </c>
      <c r="H32" s="4">
        <v>12.4475351878443</v>
      </c>
      <c r="I32" s="4">
        <f t="shared" si="1"/>
        <v>24.895070375688601</v>
      </c>
      <c r="J32" s="1">
        <v>12.4475351878443</v>
      </c>
      <c r="K32" s="1" t="s">
        <v>2</v>
      </c>
      <c r="L32" s="1" t="s">
        <v>3</v>
      </c>
    </row>
    <row r="33" spans="1:12" ht="48" x14ac:dyDescent="0.2">
      <c r="A33" s="1" t="s">
        <v>66</v>
      </c>
      <c r="B33" s="1" t="s">
        <v>67</v>
      </c>
      <c r="C33" s="1" t="s">
        <v>132</v>
      </c>
      <c r="D33" s="1">
        <v>5</v>
      </c>
      <c r="E33" s="1">
        <v>782</v>
      </c>
      <c r="F33" s="1">
        <v>782</v>
      </c>
      <c r="G33" s="1" t="s">
        <v>2</v>
      </c>
      <c r="H33" s="4">
        <v>20.926892645035199</v>
      </c>
      <c r="I33" s="4">
        <f t="shared" si="1"/>
        <v>41.853785290070398</v>
      </c>
      <c r="J33" s="1">
        <v>20.926892645035199</v>
      </c>
      <c r="K33" s="1" t="s">
        <v>2</v>
      </c>
      <c r="L33" s="1" t="s">
        <v>3</v>
      </c>
    </row>
    <row r="34" spans="1:12" ht="48" x14ac:dyDescent="0.2">
      <c r="A34" s="1" t="s">
        <v>68</v>
      </c>
      <c r="B34" s="1" t="s">
        <v>69</v>
      </c>
      <c r="C34" s="1" t="s">
        <v>132</v>
      </c>
      <c r="D34" s="1">
        <v>6</v>
      </c>
      <c r="E34" s="1">
        <v>595</v>
      </c>
      <c r="F34" s="1">
        <v>595</v>
      </c>
      <c r="G34" s="1" t="s">
        <v>2</v>
      </c>
      <c r="H34" s="4">
        <v>13.9659758740985</v>
      </c>
      <c r="I34" s="4">
        <f t="shared" si="1"/>
        <v>27.931951748197001</v>
      </c>
      <c r="J34" s="1">
        <v>13.9659758740985</v>
      </c>
      <c r="K34" s="1" t="s">
        <v>2</v>
      </c>
      <c r="L34" s="1" t="s">
        <v>3</v>
      </c>
    </row>
    <row r="35" spans="1:12" ht="48" x14ac:dyDescent="0.2">
      <c r="A35" s="1" t="s">
        <v>70</v>
      </c>
      <c r="B35" s="1" t="s">
        <v>71</v>
      </c>
      <c r="C35" s="1" t="s">
        <v>132</v>
      </c>
      <c r="D35" s="1">
        <v>7</v>
      </c>
      <c r="E35" s="1">
        <v>362</v>
      </c>
      <c r="F35" s="1">
        <v>362</v>
      </c>
      <c r="G35" s="1" t="s">
        <v>2</v>
      </c>
      <c r="H35" s="4">
        <v>4.8788644865145301</v>
      </c>
      <c r="I35" s="4">
        <f t="shared" si="1"/>
        <v>9.7577289730290602</v>
      </c>
      <c r="J35" s="1">
        <v>4.8788644865145301</v>
      </c>
      <c r="K35" s="1" t="s">
        <v>2</v>
      </c>
      <c r="L35" s="1" t="s">
        <v>6</v>
      </c>
    </row>
    <row r="36" spans="1:12" ht="48" x14ac:dyDescent="0.2">
      <c r="A36" s="1" t="s">
        <v>72</v>
      </c>
      <c r="B36" s="1" t="s">
        <v>73</v>
      </c>
      <c r="C36" s="1" t="s">
        <v>132</v>
      </c>
      <c r="D36" s="1">
        <v>8</v>
      </c>
      <c r="E36" s="1">
        <v>1222</v>
      </c>
      <c r="F36" s="1">
        <v>1222</v>
      </c>
      <c r="G36" s="1" t="s">
        <v>2</v>
      </c>
      <c r="H36" s="4">
        <v>36.731177525818303</v>
      </c>
      <c r="I36" s="4">
        <f t="shared" si="1"/>
        <v>73.462355051636607</v>
      </c>
      <c r="J36" s="1">
        <v>36.731177525818303</v>
      </c>
      <c r="K36" s="1" t="s">
        <v>2</v>
      </c>
      <c r="L36" s="1" t="s">
        <v>3</v>
      </c>
    </row>
    <row r="37" spans="1:12" ht="48" x14ac:dyDescent="0.2">
      <c r="A37" s="1" t="s">
        <v>74</v>
      </c>
      <c r="B37" s="1" t="s">
        <v>75</v>
      </c>
      <c r="C37" s="1" t="s">
        <v>132</v>
      </c>
      <c r="D37" s="1">
        <v>9</v>
      </c>
      <c r="E37" s="1">
        <v>734</v>
      </c>
      <c r="F37" s="1">
        <v>734</v>
      </c>
      <c r="G37" s="1" t="s">
        <v>2</v>
      </c>
      <c r="H37" s="4">
        <v>19.158616694806501</v>
      </c>
      <c r="I37" s="4">
        <f t="shared" si="1"/>
        <v>38.317233389613001</v>
      </c>
      <c r="J37" s="1">
        <v>19.158616694806501</v>
      </c>
      <c r="K37" s="1" t="s">
        <v>2</v>
      </c>
      <c r="L37" s="1" t="s">
        <v>3</v>
      </c>
    </row>
    <row r="38" spans="1:12" ht="48" x14ac:dyDescent="0.2">
      <c r="A38" s="1" t="s">
        <v>76</v>
      </c>
      <c r="B38" s="1" t="s">
        <v>77</v>
      </c>
      <c r="C38" s="1" t="s">
        <v>132</v>
      </c>
      <c r="D38" s="1">
        <v>10</v>
      </c>
      <c r="E38" s="1">
        <v>539</v>
      </c>
      <c r="F38" s="1">
        <v>539</v>
      </c>
      <c r="G38" s="1" t="s">
        <v>2</v>
      </c>
      <c r="H38" s="4">
        <v>11.8364960161244</v>
      </c>
      <c r="I38" s="4">
        <f t="shared" si="1"/>
        <v>23.6729920322488</v>
      </c>
      <c r="J38" s="1">
        <v>11.8364960161244</v>
      </c>
      <c r="K38" s="1" t="s">
        <v>2</v>
      </c>
      <c r="L38" s="1" t="s">
        <v>3</v>
      </c>
    </row>
    <row r="39" spans="1:12" ht="48" x14ac:dyDescent="0.2">
      <c r="A39" s="1" t="s">
        <v>78</v>
      </c>
      <c r="B39" s="1" t="s">
        <v>79</v>
      </c>
      <c r="C39" s="1" t="s">
        <v>132</v>
      </c>
      <c r="D39" s="1">
        <v>11</v>
      </c>
      <c r="E39" s="1">
        <v>542</v>
      </c>
      <c r="F39" s="1">
        <v>542</v>
      </c>
      <c r="G39" s="1" t="s">
        <v>2</v>
      </c>
      <c r="H39" s="4">
        <v>11.9512352678522</v>
      </c>
      <c r="I39" s="4">
        <f t="shared" si="1"/>
        <v>23.902470535704399</v>
      </c>
      <c r="J39" s="1">
        <v>11.9512352678522</v>
      </c>
      <c r="K39" s="1" t="s">
        <v>2</v>
      </c>
      <c r="L39" s="1" t="s">
        <v>3</v>
      </c>
    </row>
    <row r="40" spans="1:12" ht="48" x14ac:dyDescent="0.2">
      <c r="A40" s="1" t="s">
        <v>80</v>
      </c>
      <c r="B40" s="1" t="s">
        <v>81</v>
      </c>
      <c r="C40" s="1" t="s">
        <v>132</v>
      </c>
      <c r="D40" s="1">
        <v>12</v>
      </c>
      <c r="E40" s="1">
        <v>581</v>
      </c>
      <c r="F40" s="1">
        <v>581</v>
      </c>
      <c r="G40" s="1" t="s">
        <v>2</v>
      </c>
      <c r="H40" s="4">
        <v>13.435940546686901</v>
      </c>
      <c r="I40" s="4">
        <f t="shared" si="1"/>
        <v>26.871881093373801</v>
      </c>
      <c r="J40" s="1">
        <v>13.435940546686901</v>
      </c>
      <c r="K40" s="1" t="s">
        <v>2</v>
      </c>
      <c r="L40" s="1" t="s">
        <v>3</v>
      </c>
    </row>
    <row r="41" spans="1:12" ht="48" x14ac:dyDescent="0.2">
      <c r="A41" s="1" t="s">
        <v>82</v>
      </c>
      <c r="B41" s="1" t="s">
        <v>83</v>
      </c>
      <c r="C41" s="1" t="s">
        <v>132</v>
      </c>
      <c r="D41" s="1">
        <v>13</v>
      </c>
      <c r="E41" s="1">
        <v>544</v>
      </c>
      <c r="F41" s="1">
        <v>544</v>
      </c>
      <c r="G41" s="1" t="s">
        <v>2</v>
      </c>
      <c r="H41" s="4">
        <v>12.027684089550201</v>
      </c>
      <c r="I41" s="4">
        <f t="shared" si="1"/>
        <v>24.055368179100402</v>
      </c>
      <c r="J41" s="1">
        <v>12.027684089550201</v>
      </c>
      <c r="K41" s="1" t="s">
        <v>2</v>
      </c>
      <c r="L41" s="1" t="s">
        <v>3</v>
      </c>
    </row>
    <row r="42" spans="1:12" ht="48" x14ac:dyDescent="0.2">
      <c r="A42" s="1" t="s">
        <v>84</v>
      </c>
      <c r="B42" s="1" t="s">
        <v>85</v>
      </c>
      <c r="C42" s="1" t="s">
        <v>132</v>
      </c>
      <c r="D42" s="1">
        <v>14</v>
      </c>
      <c r="E42" s="1">
        <v>655</v>
      </c>
      <c r="F42" s="1">
        <v>655</v>
      </c>
      <c r="G42" s="1" t="s">
        <v>2</v>
      </c>
      <c r="H42" s="4">
        <v>16.221930623749198</v>
      </c>
      <c r="I42" s="4">
        <f t="shared" si="1"/>
        <v>32.443861247498397</v>
      </c>
      <c r="J42" s="1">
        <v>16.221930623749198</v>
      </c>
      <c r="K42" s="1" t="s">
        <v>2</v>
      </c>
      <c r="L42" s="1" t="s">
        <v>3</v>
      </c>
    </row>
    <row r="43" spans="1:12" ht="48" x14ac:dyDescent="0.2">
      <c r="A43" s="1" t="s">
        <v>86</v>
      </c>
      <c r="B43" s="1" t="s">
        <v>87</v>
      </c>
      <c r="C43" s="1" t="s">
        <v>132</v>
      </c>
      <c r="D43" s="1">
        <v>15</v>
      </c>
      <c r="E43" s="1">
        <v>470</v>
      </c>
      <c r="F43" s="1">
        <v>470</v>
      </c>
      <c r="G43" s="1" t="s">
        <v>2</v>
      </c>
      <c r="H43" s="4">
        <v>9.17335346865441</v>
      </c>
      <c r="I43" s="4">
        <f t="shared" si="1"/>
        <v>18.34670693730882</v>
      </c>
      <c r="J43" s="1">
        <v>9.17335346865441</v>
      </c>
      <c r="K43" s="1" t="s">
        <v>2</v>
      </c>
      <c r="L43" s="1" t="s">
        <v>3</v>
      </c>
    </row>
    <row r="44" spans="1:12" ht="48" x14ac:dyDescent="0.2">
      <c r="A44" s="1" t="s">
        <v>88</v>
      </c>
      <c r="B44" s="1" t="s">
        <v>89</v>
      </c>
      <c r="C44" s="1" t="s">
        <v>132</v>
      </c>
      <c r="D44" s="1">
        <v>16</v>
      </c>
      <c r="E44" s="1">
        <v>491</v>
      </c>
      <c r="F44" s="1">
        <v>491</v>
      </c>
      <c r="G44" s="1" t="s">
        <v>2</v>
      </c>
      <c r="H44" s="4">
        <v>9.9891253388725101</v>
      </c>
      <c r="I44" s="4">
        <f t="shared" si="1"/>
        <v>19.97825067774502</v>
      </c>
      <c r="J44" s="1">
        <v>9.9891253388725101</v>
      </c>
      <c r="K44" s="1" t="s">
        <v>2</v>
      </c>
      <c r="L44" s="1" t="s">
        <v>3</v>
      </c>
    </row>
    <row r="45" spans="1:12" ht="48" x14ac:dyDescent="0.2">
      <c r="A45" s="1" t="s">
        <v>90</v>
      </c>
      <c r="B45" s="1" t="s">
        <v>91</v>
      </c>
      <c r="C45" s="1" t="s">
        <v>132</v>
      </c>
      <c r="D45" s="1">
        <v>17</v>
      </c>
      <c r="E45" s="1">
        <v>465</v>
      </c>
      <c r="F45" s="1">
        <v>465</v>
      </c>
      <c r="G45" s="1" t="s">
        <v>2</v>
      </c>
      <c r="H45" s="4">
        <v>8.9783676806150901</v>
      </c>
      <c r="I45" s="4">
        <f t="shared" si="1"/>
        <v>17.95673536123018</v>
      </c>
      <c r="J45" s="1">
        <v>8.9783676806150901</v>
      </c>
      <c r="K45" s="1" t="s">
        <v>2</v>
      </c>
      <c r="L45" s="1" t="s">
        <v>3</v>
      </c>
    </row>
    <row r="46" spans="1:12" ht="48" x14ac:dyDescent="0.2">
      <c r="A46" s="1" t="s">
        <v>92</v>
      </c>
      <c r="B46" s="1" t="s">
        <v>93</v>
      </c>
      <c r="C46" s="1" t="s">
        <v>132</v>
      </c>
      <c r="D46" s="1">
        <v>18</v>
      </c>
      <c r="E46" s="1">
        <v>423</v>
      </c>
      <c r="F46" s="1">
        <v>423</v>
      </c>
      <c r="G46" s="1" t="s">
        <v>2</v>
      </c>
      <c r="H46" s="4">
        <v>7.3276263506454997</v>
      </c>
      <c r="I46" s="4">
        <f t="shared" si="1"/>
        <v>14.655252701290999</v>
      </c>
      <c r="J46" s="1">
        <v>7.3276263506454997</v>
      </c>
      <c r="K46" s="1" t="s">
        <v>2</v>
      </c>
      <c r="L46" s="1" t="s">
        <v>3</v>
      </c>
    </row>
    <row r="47" spans="1:12" ht="48" x14ac:dyDescent="0.2">
      <c r="A47" s="1" t="s">
        <v>94</v>
      </c>
      <c r="B47" s="1" t="s">
        <v>95</v>
      </c>
      <c r="C47" s="1" t="s">
        <v>132</v>
      </c>
      <c r="D47" s="1">
        <v>19</v>
      </c>
      <c r="E47" s="1">
        <v>408</v>
      </c>
      <c r="F47" s="1">
        <v>408</v>
      </c>
      <c r="G47" s="1" t="s">
        <v>2</v>
      </c>
      <c r="H47" s="4">
        <v>6.7318161844235096</v>
      </c>
      <c r="I47" s="4">
        <f t="shared" si="1"/>
        <v>13.463632368847019</v>
      </c>
      <c r="J47" s="1">
        <v>6.7318161844235096</v>
      </c>
      <c r="K47" s="1" t="s">
        <v>2</v>
      </c>
      <c r="L47" s="1" t="s">
        <v>6</v>
      </c>
    </row>
    <row r="48" spans="1:12" ht="48" x14ac:dyDescent="0.2">
      <c r="A48" s="1" t="s">
        <v>96</v>
      </c>
      <c r="B48" s="1" t="s">
        <v>97</v>
      </c>
      <c r="C48" s="1" t="s">
        <v>132</v>
      </c>
      <c r="D48" s="1">
        <v>20</v>
      </c>
      <c r="E48" s="1">
        <v>418</v>
      </c>
      <c r="F48" s="1">
        <v>418</v>
      </c>
      <c r="G48" s="1" t="s">
        <v>2</v>
      </c>
      <c r="H48" s="4">
        <v>7.1294242522444398</v>
      </c>
      <c r="I48" s="4">
        <f t="shared" si="1"/>
        <v>14.25884850448888</v>
      </c>
      <c r="J48" s="1">
        <v>7.1294242522444398</v>
      </c>
      <c r="K48" s="1" t="s">
        <v>2</v>
      </c>
      <c r="L48" s="1" t="s">
        <v>3</v>
      </c>
    </row>
    <row r="49" spans="1:12" ht="48" x14ac:dyDescent="0.2">
      <c r="A49" s="1" t="s">
        <v>98</v>
      </c>
      <c r="B49" s="1" t="s">
        <v>99</v>
      </c>
      <c r="C49" s="1" t="s">
        <v>132</v>
      </c>
      <c r="D49" s="1">
        <v>21</v>
      </c>
      <c r="E49" s="1">
        <v>431</v>
      </c>
      <c r="F49" s="1">
        <v>431</v>
      </c>
      <c r="G49" s="1" t="s">
        <v>2</v>
      </c>
      <c r="H49" s="4">
        <v>7.6439543948568298</v>
      </c>
      <c r="I49" s="4">
        <f t="shared" si="1"/>
        <v>15.28790878971366</v>
      </c>
      <c r="J49" s="1">
        <v>7.6439543948568298</v>
      </c>
      <c r="K49" s="1" t="s">
        <v>2</v>
      </c>
      <c r="L49" s="1" t="s">
        <v>3</v>
      </c>
    </row>
    <row r="50" spans="1:12" ht="48" x14ac:dyDescent="0.2">
      <c r="A50" s="1" t="s">
        <v>100</v>
      </c>
      <c r="B50" s="1" t="s">
        <v>101</v>
      </c>
      <c r="C50" s="1" t="s">
        <v>132</v>
      </c>
      <c r="D50" s="1">
        <v>22</v>
      </c>
      <c r="E50" s="1">
        <v>401</v>
      </c>
      <c r="F50" s="1">
        <v>401</v>
      </c>
      <c r="G50" s="1" t="s">
        <v>2</v>
      </c>
      <c r="H50" s="4">
        <v>6.4524881331899104</v>
      </c>
      <c r="I50" s="4">
        <f t="shared" si="1"/>
        <v>12.904976266379821</v>
      </c>
      <c r="J50" s="1">
        <v>6.4524881331899104</v>
      </c>
      <c r="K50" s="1" t="s">
        <v>2</v>
      </c>
      <c r="L50" s="1" t="s">
        <v>6</v>
      </c>
    </row>
    <row r="51" spans="1:12" ht="48" x14ac:dyDescent="0.2">
      <c r="A51" s="1" t="s">
        <v>102</v>
      </c>
      <c r="B51" s="1" t="s">
        <v>103</v>
      </c>
      <c r="C51" s="1" t="s">
        <v>132</v>
      </c>
      <c r="D51" s="1">
        <v>23</v>
      </c>
      <c r="E51" s="1">
        <v>464</v>
      </c>
      <c r="F51" s="1">
        <v>464</v>
      </c>
      <c r="G51" s="1" t="s">
        <v>2</v>
      </c>
      <c r="H51" s="4">
        <v>8.9393341772386208</v>
      </c>
      <c r="I51" s="4">
        <f t="shared" si="1"/>
        <v>17.878668354477242</v>
      </c>
      <c r="J51" s="1">
        <v>8.9393341772386208</v>
      </c>
      <c r="K51" s="1" t="s">
        <v>2</v>
      </c>
      <c r="L51" s="1" t="s">
        <v>3</v>
      </c>
    </row>
    <row r="52" spans="1:12" ht="48" x14ac:dyDescent="0.2">
      <c r="A52" s="1" t="s">
        <v>104</v>
      </c>
      <c r="B52" s="1" t="s">
        <v>105</v>
      </c>
      <c r="C52" s="1" t="s">
        <v>132</v>
      </c>
      <c r="D52" s="1">
        <v>24</v>
      </c>
      <c r="E52" s="1">
        <v>500</v>
      </c>
      <c r="F52" s="1">
        <v>500</v>
      </c>
      <c r="G52" s="1" t="s">
        <v>2</v>
      </c>
      <c r="H52" s="4">
        <v>10.337257186777499</v>
      </c>
      <c r="I52" s="4">
        <f t="shared" si="1"/>
        <v>20.674514373554999</v>
      </c>
      <c r="J52" s="1">
        <v>10.337257186777499</v>
      </c>
      <c r="K52" s="1" t="s">
        <v>2</v>
      </c>
      <c r="L52" s="1" t="s">
        <v>3</v>
      </c>
    </row>
    <row r="53" spans="1:12" ht="48" x14ac:dyDescent="0.2">
      <c r="A53" s="1" t="s">
        <v>106</v>
      </c>
      <c r="B53" s="1" t="s">
        <v>107</v>
      </c>
      <c r="C53" s="1" t="s">
        <v>132</v>
      </c>
      <c r="D53" s="1">
        <v>25</v>
      </c>
      <c r="E53" s="1">
        <v>387</v>
      </c>
      <c r="F53" s="1">
        <v>387</v>
      </c>
      <c r="G53" s="1" t="s">
        <v>2</v>
      </c>
      <c r="H53" s="4">
        <v>5.8911697842639299</v>
      </c>
      <c r="I53" s="4">
        <f t="shared" si="1"/>
        <v>11.78233956852786</v>
      </c>
      <c r="J53" s="1">
        <v>5.8911697842639299</v>
      </c>
      <c r="K53" s="1" t="s">
        <v>2</v>
      </c>
      <c r="L53" s="1" t="s">
        <v>6</v>
      </c>
    </row>
    <row r="54" spans="1:12" ht="48" x14ac:dyDescent="0.2">
      <c r="A54" s="1" t="s">
        <v>108</v>
      </c>
      <c r="B54" s="1" t="s">
        <v>109</v>
      </c>
      <c r="C54" s="1" t="s">
        <v>132</v>
      </c>
      <c r="D54" s="1">
        <v>26</v>
      </c>
      <c r="E54" s="1">
        <v>370</v>
      </c>
      <c r="F54" s="1">
        <v>370</v>
      </c>
      <c r="G54" s="1" t="s">
        <v>2</v>
      </c>
      <c r="H54" s="4">
        <v>5.2043120908821097</v>
      </c>
      <c r="I54" s="4">
        <f t="shared" si="1"/>
        <v>10.408624181764219</v>
      </c>
      <c r="J54" s="1">
        <v>5.2043120908821097</v>
      </c>
      <c r="K54" s="1" t="s">
        <v>2</v>
      </c>
      <c r="L54" s="1" t="s">
        <v>6</v>
      </c>
    </row>
    <row r="55" spans="1:12" ht="48" x14ac:dyDescent="0.2">
      <c r="A55" s="1" t="s">
        <v>110</v>
      </c>
      <c r="B55" s="1" t="s">
        <v>111</v>
      </c>
      <c r="C55" s="1" t="s">
        <v>132</v>
      </c>
      <c r="D55" s="1">
        <v>27</v>
      </c>
      <c r="E55" s="1">
        <v>432</v>
      </c>
      <c r="F55" s="1">
        <v>432</v>
      </c>
      <c r="G55" s="1" t="s">
        <v>2</v>
      </c>
      <c r="H55" s="4">
        <v>7.6834285031933698</v>
      </c>
      <c r="I55" s="4">
        <f t="shared" si="1"/>
        <v>15.36685700638674</v>
      </c>
      <c r="J55" s="1">
        <v>7.6834285031933698</v>
      </c>
      <c r="K55" s="1" t="s">
        <v>2</v>
      </c>
      <c r="L55" s="1" t="s">
        <v>3</v>
      </c>
    </row>
    <row r="56" spans="1:12" ht="48" x14ac:dyDescent="0.2">
      <c r="A56" s="1" t="s">
        <v>112</v>
      </c>
      <c r="B56" s="1" t="s">
        <v>113</v>
      </c>
      <c r="C56" s="1" t="s">
        <v>132</v>
      </c>
      <c r="D56" s="1">
        <v>28</v>
      </c>
      <c r="E56" s="1">
        <v>376</v>
      </c>
      <c r="F56" s="1">
        <v>376</v>
      </c>
      <c r="G56" s="1" t="s">
        <v>2</v>
      </c>
      <c r="H56" s="4">
        <v>5.4474357748218498</v>
      </c>
      <c r="I56" s="4">
        <f t="shared" si="1"/>
        <v>10.8948715496437</v>
      </c>
      <c r="J56" s="1">
        <v>5.4474357748218498</v>
      </c>
      <c r="K56" s="1" t="s">
        <v>2</v>
      </c>
      <c r="L56" s="1" t="s">
        <v>6</v>
      </c>
    </row>
    <row r="57" spans="1:12" ht="48" x14ac:dyDescent="0.2">
      <c r="A57" s="1" t="s">
        <v>114</v>
      </c>
      <c r="B57" s="1" t="s">
        <v>115</v>
      </c>
      <c r="C57" s="1" t="s">
        <v>132</v>
      </c>
      <c r="D57" s="1">
        <v>29</v>
      </c>
      <c r="E57" s="1">
        <v>401</v>
      </c>
      <c r="F57" s="1">
        <v>401</v>
      </c>
      <c r="G57" s="1" t="s">
        <v>2</v>
      </c>
      <c r="H57" s="4">
        <v>6.4524881331899104</v>
      </c>
      <c r="I57" s="4">
        <f t="shared" si="1"/>
        <v>12.904976266379821</v>
      </c>
      <c r="J57" s="1">
        <v>6.4524881331899104</v>
      </c>
      <c r="K57" s="1" t="s">
        <v>2</v>
      </c>
      <c r="L57" s="1" t="s">
        <v>6</v>
      </c>
    </row>
    <row r="58" spans="1:12" ht="48" x14ac:dyDescent="0.2">
      <c r="A58" s="1" t="s">
        <v>116</v>
      </c>
      <c r="B58" s="1" t="s">
        <v>117</v>
      </c>
      <c r="C58" s="1" t="s">
        <v>132</v>
      </c>
      <c r="D58" s="1">
        <v>30</v>
      </c>
      <c r="E58" s="1">
        <v>501</v>
      </c>
      <c r="F58" s="1">
        <v>501</v>
      </c>
      <c r="G58" s="1" t="s">
        <v>2</v>
      </c>
      <c r="H58" s="4">
        <v>10.3758860025972</v>
      </c>
      <c r="I58" s="4">
        <f t="shared" si="1"/>
        <v>20.7517720051944</v>
      </c>
      <c r="J58" s="1">
        <v>10.3758860025972</v>
      </c>
      <c r="K58" s="1" t="s">
        <v>2</v>
      </c>
      <c r="L58" s="1" t="s">
        <v>3</v>
      </c>
    </row>
    <row r="59" spans="1:12" ht="48" x14ac:dyDescent="0.2">
      <c r="A59" s="1" t="s">
        <v>118</v>
      </c>
      <c r="B59" s="1" t="s">
        <v>119</v>
      </c>
      <c r="C59" s="1" t="s">
        <v>132</v>
      </c>
      <c r="D59" s="1">
        <v>31</v>
      </c>
      <c r="E59" s="1">
        <v>564</v>
      </c>
      <c r="F59" s="1">
        <v>564</v>
      </c>
      <c r="G59" s="1" t="s">
        <v>2</v>
      </c>
      <c r="H59" s="4">
        <v>12.790292483869599</v>
      </c>
      <c r="I59" s="4">
        <f t="shared" si="1"/>
        <v>25.580584967739199</v>
      </c>
      <c r="J59" s="1">
        <v>12.790292483869599</v>
      </c>
      <c r="K59" s="1" t="s">
        <v>2</v>
      </c>
      <c r="L59" s="1" t="s">
        <v>3</v>
      </c>
    </row>
    <row r="60" spans="1:12" ht="48" x14ac:dyDescent="0.2">
      <c r="A60" s="1" t="s">
        <v>120</v>
      </c>
      <c r="B60" s="1" t="s">
        <v>121</v>
      </c>
      <c r="C60" s="1" t="s">
        <v>132</v>
      </c>
      <c r="D60" s="1">
        <v>32</v>
      </c>
      <c r="E60" s="1">
        <v>344</v>
      </c>
      <c r="F60" s="1">
        <v>344</v>
      </c>
      <c r="G60" s="1" t="s">
        <v>2</v>
      </c>
      <c r="H60" s="4">
        <v>4.1406693692999896</v>
      </c>
      <c r="I60" s="4">
        <f t="shared" si="1"/>
        <v>8.2813387385999793</v>
      </c>
      <c r="J60" s="1">
        <v>4.1406693692999896</v>
      </c>
      <c r="K60" s="1" t="s">
        <v>2</v>
      </c>
      <c r="L60" s="1" t="s">
        <v>6</v>
      </c>
    </row>
    <row r="61" spans="1:12" x14ac:dyDescent="0.2">
      <c r="H61"/>
      <c r="I61"/>
    </row>
    <row r="62" spans="1:12" x14ac:dyDescent="0.2">
      <c r="H62"/>
      <c r="I62"/>
    </row>
    <row r="63" spans="1:12" x14ac:dyDescent="0.2">
      <c r="H63"/>
      <c r="I63"/>
    </row>
    <row r="64" spans="1:12" x14ac:dyDescent="0.2">
      <c r="H64"/>
      <c r="I64"/>
    </row>
    <row r="65" spans="8:9" x14ac:dyDescent="0.2">
      <c r="H65"/>
      <c r="I65"/>
    </row>
    <row r="66" spans="8:9" x14ac:dyDescent="0.2">
      <c r="H66"/>
      <c r="I66"/>
    </row>
    <row r="67" spans="8:9" x14ac:dyDescent="0.2">
      <c r="H67"/>
      <c r="I67"/>
    </row>
    <row r="68" spans="8:9" x14ac:dyDescent="0.2">
      <c r="H68"/>
      <c r="I68"/>
    </row>
    <row r="69" spans="8:9" x14ac:dyDescent="0.2">
      <c r="H69"/>
      <c r="I69"/>
    </row>
    <row r="70" spans="8:9" x14ac:dyDescent="0.2">
      <c r="H70"/>
      <c r="I70"/>
    </row>
    <row r="71" spans="8:9" x14ac:dyDescent="0.2">
      <c r="H71"/>
      <c r="I71"/>
    </row>
    <row r="72" spans="8:9" x14ac:dyDescent="0.2">
      <c r="H72"/>
      <c r="I72"/>
    </row>
    <row r="73" spans="8:9" x14ac:dyDescent="0.2">
      <c r="H73"/>
      <c r="I73"/>
    </row>
    <row r="74" spans="8:9" x14ac:dyDescent="0.2">
      <c r="H74"/>
      <c r="I74"/>
    </row>
    <row r="75" spans="8:9" x14ac:dyDescent="0.2">
      <c r="H75"/>
      <c r="I75"/>
    </row>
    <row r="76" spans="8:9" x14ac:dyDescent="0.2">
      <c r="H76"/>
      <c r="I76"/>
    </row>
    <row r="77" spans="8:9" x14ac:dyDescent="0.2">
      <c r="H77"/>
      <c r="I77"/>
    </row>
    <row r="78" spans="8:9" x14ac:dyDescent="0.2">
      <c r="H78"/>
      <c r="I78"/>
    </row>
    <row r="79" spans="8:9" x14ac:dyDescent="0.2">
      <c r="H79"/>
      <c r="I79"/>
    </row>
    <row r="80" spans="8:9" x14ac:dyDescent="0.2">
      <c r="H80"/>
      <c r="I80"/>
    </row>
    <row r="81" spans="8:9" x14ac:dyDescent="0.2">
      <c r="H81"/>
      <c r="I8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L81"/>
  <sheetViews>
    <sheetView topLeftCell="A18" workbookViewId="0">
      <selection activeCell="H33" sqref="H33"/>
    </sheetView>
  </sheetViews>
  <sheetFormatPr baseColWidth="10" defaultColWidth="8.83203125" defaultRowHeight="15" x14ac:dyDescent="0.2"/>
  <cols>
    <col min="8" max="8" width="8.6640625" style="5"/>
    <col min="9" max="9" width="8.83203125" style="5"/>
  </cols>
  <sheetData>
    <row r="1" spans="1:12" s="2" customFormat="1" x14ac:dyDescent="0.2">
      <c r="A1" s="2" t="s">
        <v>122</v>
      </c>
      <c r="B1" s="2" t="s">
        <v>125</v>
      </c>
      <c r="C1" s="2" t="s">
        <v>133</v>
      </c>
      <c r="D1" s="2" t="s">
        <v>134</v>
      </c>
      <c r="E1" s="2" t="s">
        <v>126</v>
      </c>
      <c r="F1" s="2" t="s">
        <v>127</v>
      </c>
      <c r="G1" s="2" t="s">
        <v>123</v>
      </c>
      <c r="H1" s="3" t="s">
        <v>128</v>
      </c>
      <c r="I1" s="3" t="s">
        <v>135</v>
      </c>
      <c r="J1" s="2" t="s">
        <v>129</v>
      </c>
      <c r="K1" s="2" t="s">
        <v>130</v>
      </c>
      <c r="L1" s="2" t="s">
        <v>124</v>
      </c>
    </row>
    <row r="2" spans="1:12" ht="48" x14ac:dyDescent="0.2">
      <c r="A2" s="1" t="s">
        <v>0</v>
      </c>
      <c r="B2" s="1" t="s">
        <v>1</v>
      </c>
      <c r="C2" s="1" t="s">
        <v>131</v>
      </c>
      <c r="D2" s="1">
        <v>4</v>
      </c>
      <c r="E2" s="1">
        <v>44214</v>
      </c>
      <c r="F2" s="1">
        <v>44214</v>
      </c>
      <c r="G2" s="1" t="s">
        <v>2</v>
      </c>
      <c r="H2" s="4">
        <v>82.480865809090801</v>
      </c>
      <c r="I2" s="4">
        <f>IF(H2="NaN",0,H2*2)</f>
        <v>164.9617316181816</v>
      </c>
      <c r="J2" s="1">
        <v>82.480865809090801</v>
      </c>
      <c r="K2" s="1" t="s">
        <v>2</v>
      </c>
      <c r="L2" s="1" t="s">
        <v>3</v>
      </c>
    </row>
    <row r="3" spans="1:12" ht="48" x14ac:dyDescent="0.2">
      <c r="A3" s="1" t="s">
        <v>4</v>
      </c>
      <c r="B3" s="1" t="s">
        <v>5</v>
      </c>
      <c r="C3" s="1" t="s">
        <v>131</v>
      </c>
      <c r="D3" s="1">
        <v>5</v>
      </c>
      <c r="E3" s="1">
        <v>57113</v>
      </c>
      <c r="F3" s="1">
        <v>57113</v>
      </c>
      <c r="G3" s="1" t="s">
        <v>2</v>
      </c>
      <c r="H3" s="4">
        <v>105.036776525151</v>
      </c>
      <c r="I3" s="4">
        <f>IF(H3="NaN",0,H3*4)</f>
        <v>420.14710610060399</v>
      </c>
      <c r="J3" s="1">
        <v>105.036776525151</v>
      </c>
      <c r="K3" s="1" t="s">
        <v>2</v>
      </c>
      <c r="L3" s="1" t="s">
        <v>3</v>
      </c>
    </row>
    <row r="4" spans="1:12" ht="48" x14ac:dyDescent="0.2">
      <c r="A4" s="1" t="s">
        <v>7</v>
      </c>
      <c r="B4" s="1" t="s">
        <v>8</v>
      </c>
      <c r="C4" s="1" t="s">
        <v>131</v>
      </c>
      <c r="D4" s="1">
        <v>6</v>
      </c>
      <c r="E4" s="1">
        <v>25918</v>
      </c>
      <c r="F4" s="1">
        <v>25918</v>
      </c>
      <c r="G4" s="1" t="s">
        <v>2</v>
      </c>
      <c r="H4" s="4">
        <v>49.7915147803011</v>
      </c>
      <c r="I4" s="4">
        <f>IF(H4="NaN",0,H4*4)</f>
        <v>199.1660591212044</v>
      </c>
      <c r="J4" s="1">
        <v>49.7915147803011</v>
      </c>
      <c r="K4" s="1" t="s">
        <v>2</v>
      </c>
      <c r="L4" s="1" t="s">
        <v>3</v>
      </c>
    </row>
    <row r="5" spans="1:12" ht="48" x14ac:dyDescent="0.2">
      <c r="A5" s="1" t="s">
        <v>9</v>
      </c>
      <c r="B5" s="1" t="s">
        <v>10</v>
      </c>
      <c r="C5" s="1" t="s">
        <v>131</v>
      </c>
      <c r="D5" s="1">
        <v>7</v>
      </c>
      <c r="E5" s="1">
        <v>17740</v>
      </c>
      <c r="F5" s="1">
        <v>17740</v>
      </c>
      <c r="G5" s="1" t="s">
        <v>2</v>
      </c>
      <c r="H5" s="4">
        <v>34.784127539369997</v>
      </c>
      <c r="I5" s="4">
        <f t="shared" ref="I5:I14" si="0">IF(H5="NaN",0,H5*4)</f>
        <v>139.13651015747999</v>
      </c>
      <c r="J5" s="1">
        <v>34.784127539369997</v>
      </c>
      <c r="K5" s="1" t="s">
        <v>2</v>
      </c>
      <c r="L5" s="1" t="s">
        <v>3</v>
      </c>
    </row>
    <row r="6" spans="1:12" ht="48" x14ac:dyDescent="0.2">
      <c r="A6" s="1" t="s">
        <v>11</v>
      </c>
      <c r="B6" s="1" t="s">
        <v>12</v>
      </c>
      <c r="C6" s="1" t="s">
        <v>131</v>
      </c>
      <c r="D6" s="1">
        <v>8</v>
      </c>
      <c r="E6" s="1">
        <v>33996</v>
      </c>
      <c r="F6" s="1">
        <v>33996</v>
      </c>
      <c r="G6" s="1" t="s">
        <v>2</v>
      </c>
      <c r="H6" s="4">
        <v>64.347205475075697</v>
      </c>
      <c r="I6" s="4">
        <f t="shared" si="0"/>
        <v>257.38882190030279</v>
      </c>
      <c r="J6" s="1">
        <v>64.347205475075697</v>
      </c>
      <c r="K6" s="1" t="s">
        <v>2</v>
      </c>
      <c r="L6" s="1" t="s">
        <v>3</v>
      </c>
    </row>
    <row r="7" spans="1:12" ht="48" x14ac:dyDescent="0.2">
      <c r="A7" s="1" t="s">
        <v>13</v>
      </c>
      <c r="B7" s="1" t="s">
        <v>14</v>
      </c>
      <c r="C7" s="1" t="s">
        <v>131</v>
      </c>
      <c r="D7" s="1">
        <v>9</v>
      </c>
      <c r="E7" s="1">
        <v>56954</v>
      </c>
      <c r="F7" s="1">
        <v>56954</v>
      </c>
      <c r="G7" s="1" t="s">
        <v>2</v>
      </c>
      <c r="H7" s="4">
        <v>104.760655104976</v>
      </c>
      <c r="I7" s="4">
        <f t="shared" si="0"/>
        <v>419.04262041990398</v>
      </c>
      <c r="J7" s="1">
        <v>104.760655104976</v>
      </c>
      <c r="K7" s="1" t="s">
        <v>2</v>
      </c>
      <c r="L7" s="1" t="s">
        <v>3</v>
      </c>
    </row>
    <row r="8" spans="1:12" ht="48" x14ac:dyDescent="0.2">
      <c r="A8" s="1" t="s">
        <v>15</v>
      </c>
      <c r="B8" s="1" t="s">
        <v>16</v>
      </c>
      <c r="C8" s="1" t="s">
        <v>131</v>
      </c>
      <c r="D8" s="1">
        <v>10</v>
      </c>
      <c r="E8" s="1">
        <v>29897</v>
      </c>
      <c r="F8" s="1">
        <v>29897</v>
      </c>
      <c r="G8" s="1" t="s">
        <v>2</v>
      </c>
      <c r="H8" s="4">
        <v>56.989360358750197</v>
      </c>
      <c r="I8" s="4">
        <f t="shared" si="0"/>
        <v>227.95744143500079</v>
      </c>
      <c r="J8" s="1">
        <v>56.989360358750197</v>
      </c>
      <c r="K8" s="1" t="s">
        <v>2</v>
      </c>
      <c r="L8" s="1" t="s">
        <v>3</v>
      </c>
    </row>
    <row r="9" spans="1:12" ht="48" x14ac:dyDescent="0.2">
      <c r="A9" s="1" t="s">
        <v>17</v>
      </c>
      <c r="B9" s="1" t="s">
        <v>18</v>
      </c>
      <c r="C9" s="1" t="s">
        <v>131</v>
      </c>
      <c r="D9" s="1">
        <v>11</v>
      </c>
      <c r="E9" s="1">
        <v>173</v>
      </c>
      <c r="F9" s="1">
        <v>173</v>
      </c>
      <c r="G9" s="1" t="s">
        <v>2</v>
      </c>
      <c r="H9" s="4">
        <v>0.27117324274981902</v>
      </c>
      <c r="I9" s="4">
        <f t="shared" si="0"/>
        <v>1.0846929709992761</v>
      </c>
      <c r="J9" s="1">
        <v>0.27117324274981902</v>
      </c>
      <c r="K9" s="1" t="s">
        <v>2</v>
      </c>
      <c r="L9" s="1" t="s">
        <v>6</v>
      </c>
    </row>
    <row r="10" spans="1:12" ht="48" x14ac:dyDescent="0.2">
      <c r="A10" s="1" t="s">
        <v>20</v>
      </c>
      <c r="B10" s="1" t="s">
        <v>21</v>
      </c>
      <c r="C10" s="1" t="s">
        <v>131</v>
      </c>
      <c r="D10" s="1">
        <v>12</v>
      </c>
      <c r="E10" s="1">
        <v>32756</v>
      </c>
      <c r="F10" s="1">
        <v>32756</v>
      </c>
      <c r="G10" s="1" t="s">
        <v>2</v>
      </c>
      <c r="H10" s="4">
        <v>62.127001892589199</v>
      </c>
      <c r="I10" s="4">
        <f t="shared" si="0"/>
        <v>248.5080075703568</v>
      </c>
      <c r="J10" s="1">
        <v>62.127001892589199</v>
      </c>
      <c r="K10" s="1" t="s">
        <v>2</v>
      </c>
      <c r="L10" s="1" t="s">
        <v>3</v>
      </c>
    </row>
    <row r="11" spans="1:12" ht="48" x14ac:dyDescent="0.2">
      <c r="A11" s="1" t="s">
        <v>22</v>
      </c>
      <c r="B11" s="1" t="s">
        <v>23</v>
      </c>
      <c r="C11" s="1" t="s">
        <v>131</v>
      </c>
      <c r="D11" s="1">
        <v>13</v>
      </c>
      <c r="E11" s="1">
        <v>133</v>
      </c>
      <c r="F11" s="1">
        <v>133</v>
      </c>
      <c r="G11" s="1" t="s">
        <v>2</v>
      </c>
      <c r="H11" s="4">
        <v>0.170282575092496</v>
      </c>
      <c r="I11" s="4">
        <f t="shared" si="0"/>
        <v>0.68113030036998401</v>
      </c>
      <c r="J11" s="1">
        <v>0.170282575092496</v>
      </c>
      <c r="K11" s="1" t="s">
        <v>2</v>
      </c>
      <c r="L11" s="1" t="s">
        <v>6</v>
      </c>
    </row>
    <row r="12" spans="1:12" ht="48" x14ac:dyDescent="0.2">
      <c r="A12" s="1" t="s">
        <v>24</v>
      </c>
      <c r="B12" s="1" t="s">
        <v>25</v>
      </c>
      <c r="C12" s="1" t="s">
        <v>131</v>
      </c>
      <c r="D12" s="1">
        <v>14</v>
      </c>
      <c r="E12" s="1">
        <v>54314</v>
      </c>
      <c r="F12" s="1">
        <v>54314</v>
      </c>
      <c r="G12" s="1" t="s">
        <v>2</v>
      </c>
      <c r="H12" s="4">
        <v>100.169479544697</v>
      </c>
      <c r="I12" s="4">
        <f t="shared" si="0"/>
        <v>400.67791817878799</v>
      </c>
      <c r="J12" s="1">
        <v>100.169479544697</v>
      </c>
      <c r="K12" s="1" t="s">
        <v>2</v>
      </c>
      <c r="L12" s="1" t="s">
        <v>3</v>
      </c>
    </row>
    <row r="13" spans="1:12" ht="48" x14ac:dyDescent="0.2">
      <c r="A13" s="1" t="s">
        <v>26</v>
      </c>
      <c r="B13" s="1" t="s">
        <v>27</v>
      </c>
      <c r="C13" s="1" t="s">
        <v>131</v>
      </c>
      <c r="D13" s="1">
        <v>15</v>
      </c>
      <c r="E13" s="1">
        <v>35202</v>
      </c>
      <c r="F13" s="1">
        <v>35202</v>
      </c>
      <c r="G13" s="1" t="s">
        <v>2</v>
      </c>
      <c r="H13" s="4">
        <v>66.502101548312197</v>
      </c>
      <c r="I13" s="4">
        <f t="shared" si="0"/>
        <v>266.00840619324879</v>
      </c>
      <c r="J13" s="1">
        <v>66.502101548312197</v>
      </c>
      <c r="K13" s="1" t="s">
        <v>2</v>
      </c>
      <c r="L13" s="1" t="s">
        <v>3</v>
      </c>
    </row>
    <row r="14" spans="1:12" ht="48" x14ac:dyDescent="0.2">
      <c r="A14" s="1" t="s">
        <v>28</v>
      </c>
      <c r="B14" s="1" t="s">
        <v>29</v>
      </c>
      <c r="C14" s="1" t="s">
        <v>131</v>
      </c>
      <c r="D14" s="1">
        <v>16</v>
      </c>
      <c r="E14" s="1">
        <v>40305</v>
      </c>
      <c r="F14" s="1">
        <v>40305</v>
      </c>
      <c r="G14" s="1" t="s">
        <v>2</v>
      </c>
      <c r="H14" s="4">
        <v>75.575319133339903</v>
      </c>
      <c r="I14" s="4">
        <f t="shared" si="0"/>
        <v>302.30127653335961</v>
      </c>
      <c r="J14" s="1">
        <v>75.575319133339903</v>
      </c>
      <c r="K14" s="1" t="s">
        <v>2</v>
      </c>
      <c r="L14" s="1" t="s">
        <v>3</v>
      </c>
    </row>
    <row r="15" spans="1:12" ht="48" x14ac:dyDescent="0.2">
      <c r="A15" s="1" t="s">
        <v>30</v>
      </c>
      <c r="B15" s="1" t="s">
        <v>31</v>
      </c>
      <c r="C15" s="1" t="s">
        <v>131</v>
      </c>
      <c r="D15" s="1">
        <v>17</v>
      </c>
      <c r="E15" s="1">
        <v>21781</v>
      </c>
      <c r="F15" s="1">
        <v>21781</v>
      </c>
      <c r="G15" s="1" t="s">
        <v>2</v>
      </c>
      <c r="H15" s="4">
        <v>42.240186267716602</v>
      </c>
      <c r="I15" s="4">
        <f t="shared" ref="I15:I60" si="1">IF(H15="NaN",0,H15*2)</f>
        <v>84.480372535433204</v>
      </c>
      <c r="J15" s="1">
        <v>42.240186267716602</v>
      </c>
      <c r="K15" s="1" t="s">
        <v>2</v>
      </c>
      <c r="L15" s="1" t="s">
        <v>3</v>
      </c>
    </row>
    <row r="16" spans="1:12" ht="48" x14ac:dyDescent="0.2">
      <c r="A16" s="1" t="s">
        <v>32</v>
      </c>
      <c r="B16" s="1" t="s">
        <v>33</v>
      </c>
      <c r="C16" s="1" t="s">
        <v>131</v>
      </c>
      <c r="D16" s="1">
        <v>18</v>
      </c>
      <c r="E16" s="1">
        <v>22610</v>
      </c>
      <c r="F16" s="1">
        <v>22610</v>
      </c>
      <c r="G16" s="1" t="s">
        <v>2</v>
      </c>
      <c r="H16" s="4">
        <v>43.759490838434402</v>
      </c>
      <c r="I16" s="4">
        <f t="shared" si="1"/>
        <v>87.518981676868805</v>
      </c>
      <c r="J16" s="1">
        <v>43.759490838434402</v>
      </c>
      <c r="K16" s="1" t="s">
        <v>2</v>
      </c>
      <c r="L16" s="1" t="s">
        <v>3</v>
      </c>
    </row>
    <row r="17" spans="1:12" ht="48" x14ac:dyDescent="0.2">
      <c r="A17" s="1" t="s">
        <v>34</v>
      </c>
      <c r="B17" s="1" t="s">
        <v>35</v>
      </c>
      <c r="C17" s="1" t="s">
        <v>131</v>
      </c>
      <c r="D17" s="1">
        <v>19</v>
      </c>
      <c r="E17" s="1">
        <v>22985</v>
      </c>
      <c r="F17" s="1">
        <v>22985</v>
      </c>
      <c r="G17" s="1" t="s">
        <v>2</v>
      </c>
      <c r="H17" s="4">
        <v>44.445699219618298</v>
      </c>
      <c r="I17" s="4">
        <f t="shared" si="1"/>
        <v>88.891398439236596</v>
      </c>
      <c r="J17" s="1">
        <v>44.445699219618298</v>
      </c>
      <c r="K17" s="1" t="s">
        <v>2</v>
      </c>
      <c r="L17" s="1" t="s">
        <v>3</v>
      </c>
    </row>
    <row r="18" spans="1:12" ht="48" x14ac:dyDescent="0.2">
      <c r="A18" s="1" t="s">
        <v>36</v>
      </c>
      <c r="B18" s="1" t="s">
        <v>37</v>
      </c>
      <c r="C18" s="1" t="s">
        <v>131</v>
      </c>
      <c r="D18" s="1">
        <v>20</v>
      </c>
      <c r="E18" s="1">
        <v>31391</v>
      </c>
      <c r="F18" s="1">
        <v>31391</v>
      </c>
      <c r="G18" s="1" t="s">
        <v>2</v>
      </c>
      <c r="H18" s="4">
        <v>59.677425744725497</v>
      </c>
      <c r="I18" s="4">
        <f t="shared" si="1"/>
        <v>119.35485148945099</v>
      </c>
      <c r="J18" s="1">
        <v>59.677425744725497</v>
      </c>
      <c r="K18" s="1" t="s">
        <v>2</v>
      </c>
      <c r="L18" s="1" t="s">
        <v>3</v>
      </c>
    </row>
    <row r="19" spans="1:12" ht="48" x14ac:dyDescent="0.2">
      <c r="A19" s="1" t="s">
        <v>38</v>
      </c>
      <c r="B19" s="1" t="s">
        <v>39</v>
      </c>
      <c r="C19" s="1" t="s">
        <v>131</v>
      </c>
      <c r="D19" s="1">
        <v>21</v>
      </c>
      <c r="E19" s="1">
        <v>28659</v>
      </c>
      <c r="F19" s="1">
        <v>28659</v>
      </c>
      <c r="G19" s="1" t="s">
        <v>2</v>
      </c>
      <c r="H19" s="4">
        <v>54.756097082186599</v>
      </c>
      <c r="I19" s="4">
        <f t="shared" si="1"/>
        <v>109.5121941643732</v>
      </c>
      <c r="J19" s="1">
        <v>54.756097082186599</v>
      </c>
      <c r="K19" s="1" t="s">
        <v>2</v>
      </c>
      <c r="L19" s="1" t="s">
        <v>3</v>
      </c>
    </row>
    <row r="20" spans="1:12" ht="48" x14ac:dyDescent="0.2">
      <c r="A20" s="1" t="s">
        <v>40</v>
      </c>
      <c r="B20" s="1" t="s">
        <v>41</v>
      </c>
      <c r="C20" s="1" t="s">
        <v>131</v>
      </c>
      <c r="D20" s="1">
        <v>22</v>
      </c>
      <c r="E20" s="1">
        <v>17889</v>
      </c>
      <c r="F20" s="1">
        <v>17889</v>
      </c>
      <c r="G20" s="1" t="s">
        <v>2</v>
      </c>
      <c r="H20" s="4">
        <v>35.060653800425897</v>
      </c>
      <c r="I20" s="4">
        <f t="shared" si="1"/>
        <v>70.121307600851793</v>
      </c>
      <c r="J20" s="1">
        <v>35.060653800425897</v>
      </c>
      <c r="K20" s="1" t="s">
        <v>2</v>
      </c>
      <c r="L20" s="1" t="s">
        <v>3</v>
      </c>
    </row>
    <row r="21" spans="1:12" ht="48" x14ac:dyDescent="0.2">
      <c r="A21" s="1" t="s">
        <v>42</v>
      </c>
      <c r="B21" s="1" t="s">
        <v>43</v>
      </c>
      <c r="C21" s="1" t="s">
        <v>131</v>
      </c>
      <c r="D21" s="1">
        <v>23</v>
      </c>
      <c r="E21" s="1">
        <v>41080</v>
      </c>
      <c r="F21" s="1">
        <v>41080</v>
      </c>
      <c r="G21" s="1" t="s">
        <v>2</v>
      </c>
      <c r="H21" s="4">
        <v>76.947340540235203</v>
      </c>
      <c r="I21" s="4">
        <f t="shared" si="1"/>
        <v>153.89468108047041</v>
      </c>
      <c r="J21" s="1">
        <v>76.947340540235203</v>
      </c>
      <c r="K21" s="1" t="s">
        <v>2</v>
      </c>
      <c r="L21" s="1" t="s">
        <v>3</v>
      </c>
    </row>
    <row r="22" spans="1:12" ht="48" x14ac:dyDescent="0.2">
      <c r="A22" s="1" t="s">
        <v>44</v>
      </c>
      <c r="B22" s="1" t="s">
        <v>45</v>
      </c>
      <c r="C22" s="1" t="s">
        <v>131</v>
      </c>
      <c r="D22" s="1">
        <v>24</v>
      </c>
      <c r="E22" s="1">
        <v>27965</v>
      </c>
      <c r="F22" s="1">
        <v>27965</v>
      </c>
      <c r="G22" s="1" t="s">
        <v>2</v>
      </c>
      <c r="H22" s="4">
        <v>53.501773793655602</v>
      </c>
      <c r="I22" s="4">
        <f t="shared" si="1"/>
        <v>107.0035475873112</v>
      </c>
      <c r="J22" s="1">
        <v>53.501773793655602</v>
      </c>
      <c r="K22" s="1" t="s">
        <v>2</v>
      </c>
      <c r="L22" s="1" t="s">
        <v>3</v>
      </c>
    </row>
    <row r="23" spans="1:12" ht="48" x14ac:dyDescent="0.2">
      <c r="A23" s="1" t="s">
        <v>46</v>
      </c>
      <c r="B23" s="1" t="s">
        <v>47</v>
      </c>
      <c r="C23" s="1" t="s">
        <v>131</v>
      </c>
      <c r="D23" s="1">
        <v>25</v>
      </c>
      <c r="E23" s="1">
        <v>11467</v>
      </c>
      <c r="F23" s="1">
        <v>11467</v>
      </c>
      <c r="G23" s="1" t="s">
        <v>2</v>
      </c>
      <c r="H23" s="4">
        <v>23.003371877537401</v>
      </c>
      <c r="I23" s="4">
        <f>IF(H23="NaN",0,H23*2)</f>
        <v>46.006743755074801</v>
      </c>
      <c r="J23" s="1">
        <v>23.003371877537401</v>
      </c>
      <c r="K23" s="1" t="s">
        <v>2</v>
      </c>
      <c r="L23" s="1" t="s">
        <v>3</v>
      </c>
    </row>
    <row r="24" spans="1:12" ht="48" x14ac:dyDescent="0.2">
      <c r="A24" s="1" t="s">
        <v>48</v>
      </c>
      <c r="B24" s="1" t="s">
        <v>49</v>
      </c>
      <c r="C24" s="1" t="s">
        <v>131</v>
      </c>
      <c r="D24" s="1">
        <v>26</v>
      </c>
      <c r="E24" s="1">
        <v>18332</v>
      </c>
      <c r="F24" s="1">
        <v>18332</v>
      </c>
      <c r="G24" s="1" t="s">
        <v>2</v>
      </c>
      <c r="H24" s="4">
        <v>35.8820353102832</v>
      </c>
      <c r="I24" s="4">
        <f t="shared" si="1"/>
        <v>71.7640706205664</v>
      </c>
      <c r="J24" s="1">
        <v>35.8820353102832</v>
      </c>
      <c r="K24" s="1" t="s">
        <v>2</v>
      </c>
      <c r="L24" s="1" t="s">
        <v>3</v>
      </c>
    </row>
    <row r="25" spans="1:12" ht="48" x14ac:dyDescent="0.2">
      <c r="A25" s="1" t="s">
        <v>50</v>
      </c>
      <c r="B25" s="1" t="s">
        <v>51</v>
      </c>
      <c r="C25" s="1" t="s">
        <v>131</v>
      </c>
      <c r="D25" s="1">
        <v>27</v>
      </c>
      <c r="E25" s="1">
        <v>23936</v>
      </c>
      <c r="F25" s="1">
        <v>23936</v>
      </c>
      <c r="G25" s="1" t="s">
        <v>2</v>
      </c>
      <c r="H25" s="4">
        <v>46.183080807456001</v>
      </c>
      <c r="I25" s="4">
        <f t="shared" si="1"/>
        <v>92.366161614912002</v>
      </c>
      <c r="J25" s="1">
        <v>46.183080807456001</v>
      </c>
      <c r="K25" s="1" t="s">
        <v>2</v>
      </c>
      <c r="L25" s="1" t="s">
        <v>3</v>
      </c>
    </row>
    <row r="26" spans="1:12" ht="48" x14ac:dyDescent="0.2">
      <c r="A26" s="1" t="s">
        <v>52</v>
      </c>
      <c r="B26" s="1" t="s">
        <v>53</v>
      </c>
      <c r="C26" s="1" t="s">
        <v>131</v>
      </c>
      <c r="D26" s="1">
        <v>28</v>
      </c>
      <c r="E26" s="1">
        <v>11943</v>
      </c>
      <c r="F26" s="1">
        <v>11943</v>
      </c>
      <c r="G26" s="1" t="s">
        <v>2</v>
      </c>
      <c r="H26" s="4">
        <v>23.908286645890399</v>
      </c>
      <c r="I26" s="4">
        <f>IF(H26="NaN",0,H26*4)</f>
        <v>95.633146583561597</v>
      </c>
      <c r="J26" s="1">
        <v>23.908286645890399</v>
      </c>
      <c r="K26" s="1" t="s">
        <v>2</v>
      </c>
      <c r="L26" s="1" t="s">
        <v>3</v>
      </c>
    </row>
    <row r="27" spans="1:12" ht="48" x14ac:dyDescent="0.2">
      <c r="A27" s="1" t="s">
        <v>54</v>
      </c>
      <c r="B27" s="1" t="s">
        <v>55</v>
      </c>
      <c r="C27" s="1" t="s">
        <v>131</v>
      </c>
      <c r="D27" s="1">
        <v>29</v>
      </c>
      <c r="E27" s="1">
        <v>26833</v>
      </c>
      <c r="F27" s="1">
        <v>26833</v>
      </c>
      <c r="G27" s="1" t="s">
        <v>2</v>
      </c>
      <c r="H27" s="4">
        <v>51.451977672710697</v>
      </c>
      <c r="I27" s="4">
        <f t="shared" si="1"/>
        <v>102.90395534542139</v>
      </c>
      <c r="J27" s="1">
        <v>51.451977672710697</v>
      </c>
      <c r="K27" s="1" t="s">
        <v>2</v>
      </c>
      <c r="L27" s="1" t="s">
        <v>3</v>
      </c>
    </row>
    <row r="28" spans="1:12" ht="48" x14ac:dyDescent="0.2">
      <c r="A28" s="1" t="s">
        <v>56</v>
      </c>
      <c r="B28" s="1" t="s">
        <v>57</v>
      </c>
      <c r="C28" s="1" t="s">
        <v>131</v>
      </c>
      <c r="D28" s="1">
        <v>30</v>
      </c>
      <c r="E28" s="1">
        <v>28215</v>
      </c>
      <c r="F28" s="1">
        <v>28215</v>
      </c>
      <c r="G28" s="1" t="s">
        <v>2</v>
      </c>
      <c r="H28" s="4">
        <v>53.9538219385202</v>
      </c>
      <c r="I28" s="4">
        <f t="shared" si="1"/>
        <v>107.9076438770404</v>
      </c>
      <c r="J28" s="1">
        <v>53.9538219385202</v>
      </c>
      <c r="K28" s="1" t="s">
        <v>2</v>
      </c>
      <c r="L28" s="1" t="s">
        <v>3</v>
      </c>
    </row>
    <row r="29" spans="1:12" ht="48" x14ac:dyDescent="0.2">
      <c r="A29" s="1" t="s">
        <v>58</v>
      </c>
      <c r="B29" s="1" t="s">
        <v>59</v>
      </c>
      <c r="C29" s="1" t="s">
        <v>131</v>
      </c>
      <c r="D29" s="1">
        <v>31</v>
      </c>
      <c r="E29" s="1">
        <v>36229</v>
      </c>
      <c r="F29" s="1">
        <v>36229</v>
      </c>
      <c r="G29" s="1" t="s">
        <v>2</v>
      </c>
      <c r="H29" s="4">
        <v>68.333833868290895</v>
      </c>
      <c r="I29" s="4">
        <f t="shared" si="1"/>
        <v>136.66766773658179</v>
      </c>
      <c r="J29" s="1">
        <v>68.333833868290895</v>
      </c>
      <c r="K29" s="1" t="s">
        <v>2</v>
      </c>
      <c r="L29" s="1" t="s">
        <v>3</v>
      </c>
    </row>
    <row r="30" spans="1:12" ht="48" x14ac:dyDescent="0.2">
      <c r="A30" s="1" t="s">
        <v>60</v>
      </c>
      <c r="B30" s="1" t="s">
        <v>61</v>
      </c>
      <c r="C30" s="1" t="s">
        <v>131</v>
      </c>
      <c r="D30" s="1">
        <v>32</v>
      </c>
      <c r="E30" s="1">
        <v>32814</v>
      </c>
      <c r="F30" s="1">
        <v>32814</v>
      </c>
      <c r="G30" s="1" t="s">
        <v>2</v>
      </c>
      <c r="H30" s="4">
        <v>62.230955707229903</v>
      </c>
      <c r="I30" s="4">
        <f t="shared" si="1"/>
        <v>124.46191141445981</v>
      </c>
      <c r="J30" s="1">
        <v>62.230955707229903</v>
      </c>
      <c r="K30" s="1" t="s">
        <v>2</v>
      </c>
      <c r="L30" s="1" t="s">
        <v>3</v>
      </c>
    </row>
    <row r="31" spans="1:12" ht="48" x14ac:dyDescent="0.2">
      <c r="A31" s="1" t="s">
        <v>62</v>
      </c>
      <c r="B31" s="1" t="s">
        <v>63</v>
      </c>
      <c r="C31" s="1" t="s">
        <v>132</v>
      </c>
      <c r="D31" s="1">
        <v>3</v>
      </c>
      <c r="E31" s="1">
        <v>6358</v>
      </c>
      <c r="F31" s="1">
        <v>6358</v>
      </c>
      <c r="G31" s="1" t="s">
        <v>2</v>
      </c>
      <c r="H31" s="4">
        <v>13.129104614380701</v>
      </c>
      <c r="I31" s="4">
        <f t="shared" si="1"/>
        <v>26.258209228761402</v>
      </c>
      <c r="J31" s="1">
        <v>13.129104614380701</v>
      </c>
      <c r="K31" s="1" t="s">
        <v>2</v>
      </c>
      <c r="L31" s="1" t="s">
        <v>3</v>
      </c>
    </row>
    <row r="32" spans="1:12" ht="48" x14ac:dyDescent="0.2">
      <c r="A32" s="1" t="s">
        <v>64</v>
      </c>
      <c r="B32" s="1" t="s">
        <v>65</v>
      </c>
      <c r="C32" s="1" t="s">
        <v>132</v>
      </c>
      <c r="D32" s="1">
        <v>4</v>
      </c>
      <c r="E32" s="1">
        <v>1569</v>
      </c>
      <c r="F32" s="1">
        <v>1569</v>
      </c>
      <c r="G32" s="1" t="s">
        <v>2</v>
      </c>
      <c r="H32" s="4">
        <v>3.3961077241745001</v>
      </c>
      <c r="I32" s="4">
        <f t="shared" si="1"/>
        <v>6.7922154483490003</v>
      </c>
      <c r="J32" s="1">
        <v>3.3961077241745001</v>
      </c>
      <c r="K32" s="1" t="s">
        <v>2</v>
      </c>
      <c r="L32" s="1" t="s">
        <v>3</v>
      </c>
    </row>
    <row r="33" spans="1:12" ht="48" x14ac:dyDescent="0.2">
      <c r="A33" s="1" t="s">
        <v>66</v>
      </c>
      <c r="B33" s="1" t="s">
        <v>67</v>
      </c>
      <c r="C33" s="1" t="s">
        <v>132</v>
      </c>
      <c r="D33" s="1">
        <v>5</v>
      </c>
      <c r="E33" s="1">
        <v>2069</v>
      </c>
      <c r="F33" s="1">
        <v>2069</v>
      </c>
      <c r="G33" s="1" t="s">
        <v>2</v>
      </c>
      <c r="H33" s="4">
        <v>4.4553532690550997</v>
      </c>
      <c r="I33" s="4">
        <f t="shared" si="1"/>
        <v>8.9107065381101993</v>
      </c>
      <c r="J33" s="1">
        <v>4.4553532690550997</v>
      </c>
      <c r="K33" s="1" t="s">
        <v>2</v>
      </c>
      <c r="L33" s="1" t="s">
        <v>3</v>
      </c>
    </row>
    <row r="34" spans="1:12" ht="48" x14ac:dyDescent="0.2">
      <c r="A34" s="1" t="s">
        <v>68</v>
      </c>
      <c r="B34" s="1" t="s">
        <v>69</v>
      </c>
      <c r="C34" s="1" t="s">
        <v>132</v>
      </c>
      <c r="D34" s="1">
        <v>6</v>
      </c>
      <c r="E34" s="1">
        <v>1576</v>
      </c>
      <c r="F34" s="1">
        <v>1576</v>
      </c>
      <c r="G34" s="1" t="s">
        <v>2</v>
      </c>
      <c r="H34" s="4">
        <v>3.4110631531013298</v>
      </c>
      <c r="I34" s="4">
        <f t="shared" si="1"/>
        <v>6.8221263062026596</v>
      </c>
      <c r="J34" s="1">
        <v>3.4110631531013298</v>
      </c>
      <c r="K34" s="1" t="s">
        <v>2</v>
      </c>
      <c r="L34" s="1" t="s">
        <v>3</v>
      </c>
    </row>
    <row r="35" spans="1:12" ht="48" x14ac:dyDescent="0.2">
      <c r="A35" s="1" t="s">
        <v>70</v>
      </c>
      <c r="B35" s="1" t="s">
        <v>71</v>
      </c>
      <c r="C35" s="1" t="s">
        <v>132</v>
      </c>
      <c r="D35" s="1">
        <v>7</v>
      </c>
      <c r="E35" s="1">
        <v>1203</v>
      </c>
      <c r="F35" s="1">
        <v>1203</v>
      </c>
      <c r="G35" s="1" t="s">
        <v>2</v>
      </c>
      <c r="H35" s="4">
        <v>2.6080632462911302</v>
      </c>
      <c r="I35" s="4">
        <f t="shared" si="1"/>
        <v>5.2161264925822604</v>
      </c>
      <c r="J35" s="1">
        <v>2.6080632462911302</v>
      </c>
      <c r="K35" s="1" t="s">
        <v>2</v>
      </c>
      <c r="L35" s="1" t="s">
        <v>3</v>
      </c>
    </row>
    <row r="36" spans="1:12" ht="48" x14ac:dyDescent="0.2">
      <c r="A36" s="1" t="s">
        <v>72</v>
      </c>
      <c r="B36" s="1" t="s">
        <v>73</v>
      </c>
      <c r="C36" s="1" t="s">
        <v>132</v>
      </c>
      <c r="D36" s="1">
        <v>8</v>
      </c>
      <c r="E36" s="1">
        <v>3881</v>
      </c>
      <c r="F36" s="1">
        <v>3881</v>
      </c>
      <c r="G36" s="1" t="s">
        <v>2</v>
      </c>
      <c r="H36" s="4">
        <v>8.1875338133042703</v>
      </c>
      <c r="I36" s="4">
        <f t="shared" si="1"/>
        <v>16.375067626608541</v>
      </c>
      <c r="J36" s="1">
        <v>8.1875338133042703</v>
      </c>
      <c r="K36" s="1" t="s">
        <v>2</v>
      </c>
      <c r="L36" s="1" t="s">
        <v>3</v>
      </c>
    </row>
    <row r="37" spans="1:12" ht="48" x14ac:dyDescent="0.2">
      <c r="A37" s="1" t="s">
        <v>74</v>
      </c>
      <c r="B37" s="1" t="s">
        <v>75</v>
      </c>
      <c r="C37" s="1" t="s">
        <v>132</v>
      </c>
      <c r="D37" s="1">
        <v>9</v>
      </c>
      <c r="E37" s="1">
        <v>2074</v>
      </c>
      <c r="F37" s="1">
        <v>2074</v>
      </c>
      <c r="G37" s="1" t="s">
        <v>2</v>
      </c>
      <c r="H37" s="4">
        <v>4.4658623752517297</v>
      </c>
      <c r="I37" s="4">
        <f t="shared" si="1"/>
        <v>8.9317247505034594</v>
      </c>
      <c r="J37" s="1">
        <v>4.4658623752517297</v>
      </c>
      <c r="K37" s="1" t="s">
        <v>2</v>
      </c>
      <c r="L37" s="1" t="s">
        <v>3</v>
      </c>
    </row>
    <row r="38" spans="1:12" ht="48" x14ac:dyDescent="0.2">
      <c r="A38" s="1" t="s">
        <v>76</v>
      </c>
      <c r="B38" s="1" t="s">
        <v>77</v>
      </c>
      <c r="C38" s="1" t="s">
        <v>132</v>
      </c>
      <c r="D38" s="1">
        <v>10</v>
      </c>
      <c r="E38" s="1">
        <v>2221</v>
      </c>
      <c r="F38" s="1">
        <v>2221</v>
      </c>
      <c r="G38" s="1" t="s">
        <v>2</v>
      </c>
      <c r="H38" s="4">
        <v>4.7741777865528396</v>
      </c>
      <c r="I38" s="4">
        <f t="shared" si="1"/>
        <v>9.5483555731056793</v>
      </c>
      <c r="J38" s="1">
        <v>4.7741777865528396</v>
      </c>
      <c r="K38" s="1" t="s">
        <v>2</v>
      </c>
      <c r="L38" s="1" t="s">
        <v>3</v>
      </c>
    </row>
    <row r="39" spans="1:12" ht="48" x14ac:dyDescent="0.2">
      <c r="A39" s="1" t="s">
        <v>78</v>
      </c>
      <c r="B39" s="1" t="s">
        <v>79</v>
      </c>
      <c r="C39" s="1" t="s">
        <v>132</v>
      </c>
      <c r="D39" s="1">
        <v>11</v>
      </c>
      <c r="E39" s="1">
        <v>1348</v>
      </c>
      <c r="F39" s="1">
        <v>1348</v>
      </c>
      <c r="G39" s="1" t="s">
        <v>2</v>
      </c>
      <c r="H39" s="4">
        <v>2.9217828476853498</v>
      </c>
      <c r="I39" s="4">
        <f t="shared" si="1"/>
        <v>5.8435656953706996</v>
      </c>
      <c r="J39" s="1">
        <v>2.9217828476853498</v>
      </c>
      <c r="K39" s="1" t="s">
        <v>2</v>
      </c>
      <c r="L39" s="1" t="s">
        <v>3</v>
      </c>
    </row>
    <row r="40" spans="1:12" ht="48" x14ac:dyDescent="0.2">
      <c r="A40" s="1" t="s">
        <v>80</v>
      </c>
      <c r="B40" s="1" t="s">
        <v>81</v>
      </c>
      <c r="C40" s="1" t="s">
        <v>132</v>
      </c>
      <c r="D40" s="1">
        <v>12</v>
      </c>
      <c r="E40" s="1">
        <v>2139</v>
      </c>
      <c r="F40" s="1">
        <v>2139</v>
      </c>
      <c r="G40" s="1" t="s">
        <v>2</v>
      </c>
      <c r="H40" s="4">
        <v>4.6023460596645496</v>
      </c>
      <c r="I40" s="4">
        <f t="shared" si="1"/>
        <v>9.2046921193290991</v>
      </c>
      <c r="J40" s="1">
        <v>4.6023460596645496</v>
      </c>
      <c r="K40" s="1" t="s">
        <v>2</v>
      </c>
      <c r="L40" s="1" t="s">
        <v>3</v>
      </c>
    </row>
    <row r="41" spans="1:12" ht="48" x14ac:dyDescent="0.2">
      <c r="A41" s="1" t="s">
        <v>82</v>
      </c>
      <c r="B41" s="1" t="s">
        <v>83</v>
      </c>
      <c r="C41" s="1" t="s">
        <v>132</v>
      </c>
      <c r="D41" s="1">
        <v>13</v>
      </c>
      <c r="E41" s="1">
        <v>2230</v>
      </c>
      <c r="F41" s="1">
        <v>2230</v>
      </c>
      <c r="G41" s="1" t="s">
        <v>2</v>
      </c>
      <c r="H41" s="4">
        <v>4.7930143561634004</v>
      </c>
      <c r="I41" s="4">
        <f t="shared" si="1"/>
        <v>9.5860287123268009</v>
      </c>
      <c r="J41" s="1">
        <v>4.7930143561634004</v>
      </c>
      <c r="K41" s="1" t="s">
        <v>2</v>
      </c>
      <c r="L41" s="1" t="s">
        <v>3</v>
      </c>
    </row>
    <row r="42" spans="1:12" ht="48" x14ac:dyDescent="0.2">
      <c r="A42" s="1" t="s">
        <v>84</v>
      </c>
      <c r="B42" s="1" t="s">
        <v>85</v>
      </c>
      <c r="C42" s="1" t="s">
        <v>132</v>
      </c>
      <c r="D42" s="1">
        <v>14</v>
      </c>
      <c r="E42" s="1">
        <v>1397</v>
      </c>
      <c r="F42" s="1">
        <v>1397</v>
      </c>
      <c r="G42" s="1" t="s">
        <v>2</v>
      </c>
      <c r="H42" s="4">
        <v>3.02732788574043</v>
      </c>
      <c r="I42" s="4">
        <f t="shared" si="1"/>
        <v>6.05465577148086</v>
      </c>
      <c r="J42" s="1">
        <v>3.02732788574043</v>
      </c>
      <c r="K42" s="1" t="s">
        <v>2</v>
      </c>
      <c r="L42" s="1" t="s">
        <v>3</v>
      </c>
    </row>
    <row r="43" spans="1:12" ht="48" x14ac:dyDescent="0.2">
      <c r="A43" s="1" t="s">
        <v>86</v>
      </c>
      <c r="B43" s="1" t="s">
        <v>87</v>
      </c>
      <c r="C43" s="1" t="s">
        <v>132</v>
      </c>
      <c r="D43" s="1">
        <v>15</v>
      </c>
      <c r="E43" s="1">
        <v>1387</v>
      </c>
      <c r="F43" s="1">
        <v>1387</v>
      </c>
      <c r="G43" s="1" t="s">
        <v>2</v>
      </c>
      <c r="H43" s="4">
        <v>3.0058064099430499</v>
      </c>
      <c r="I43" s="4">
        <f t="shared" si="1"/>
        <v>6.0116128198860999</v>
      </c>
      <c r="J43" s="1">
        <v>3.0058064099430499</v>
      </c>
      <c r="K43" s="1" t="s">
        <v>2</v>
      </c>
      <c r="L43" s="1" t="s">
        <v>3</v>
      </c>
    </row>
    <row r="44" spans="1:12" ht="48" x14ac:dyDescent="0.2">
      <c r="A44" s="1" t="s">
        <v>88</v>
      </c>
      <c r="B44" s="1" t="s">
        <v>89</v>
      </c>
      <c r="C44" s="1" t="s">
        <v>132</v>
      </c>
      <c r="D44" s="1">
        <v>16</v>
      </c>
      <c r="E44" s="1">
        <v>1665</v>
      </c>
      <c r="F44" s="1">
        <v>1665</v>
      </c>
      <c r="G44" s="1" t="s">
        <v>2</v>
      </c>
      <c r="H44" s="4">
        <v>3.6008714718562702</v>
      </c>
      <c r="I44" s="4">
        <f t="shared" si="1"/>
        <v>7.2017429437125404</v>
      </c>
      <c r="J44" s="1">
        <v>3.6008714718562702</v>
      </c>
      <c r="K44" s="1" t="s">
        <v>2</v>
      </c>
      <c r="L44" s="1" t="s">
        <v>3</v>
      </c>
    </row>
    <row r="45" spans="1:12" ht="48" x14ac:dyDescent="0.2">
      <c r="A45" s="1" t="s">
        <v>90</v>
      </c>
      <c r="B45" s="1" t="s">
        <v>91</v>
      </c>
      <c r="C45" s="1" t="s">
        <v>132</v>
      </c>
      <c r="D45" s="1">
        <v>17</v>
      </c>
      <c r="E45" s="1">
        <v>2402</v>
      </c>
      <c r="F45" s="1">
        <v>2402</v>
      </c>
      <c r="G45" s="1" t="s">
        <v>2</v>
      </c>
      <c r="H45" s="4">
        <v>5.1521637910838596</v>
      </c>
      <c r="I45" s="4">
        <f t="shared" si="1"/>
        <v>10.304327582167719</v>
      </c>
      <c r="J45" s="1">
        <v>5.1521637910838596</v>
      </c>
      <c r="K45" s="1" t="s">
        <v>2</v>
      </c>
      <c r="L45" s="1" t="s">
        <v>3</v>
      </c>
    </row>
    <row r="46" spans="1:12" ht="48" x14ac:dyDescent="0.2">
      <c r="A46" s="1" t="s">
        <v>92</v>
      </c>
      <c r="B46" s="1" t="s">
        <v>93</v>
      </c>
      <c r="C46" s="1" t="s">
        <v>132</v>
      </c>
      <c r="D46" s="1">
        <v>18</v>
      </c>
      <c r="E46" s="1">
        <v>1550</v>
      </c>
      <c r="F46" s="1">
        <v>1550</v>
      </c>
      <c r="G46" s="1" t="s">
        <v>2</v>
      </c>
      <c r="H46" s="4">
        <v>3.3554942723349299</v>
      </c>
      <c r="I46" s="4">
        <f t="shared" si="1"/>
        <v>6.7109885446698598</v>
      </c>
      <c r="J46" s="1">
        <v>3.3554942723349299</v>
      </c>
      <c r="K46" s="1" t="s">
        <v>2</v>
      </c>
      <c r="L46" s="1" t="s">
        <v>3</v>
      </c>
    </row>
    <row r="47" spans="1:12" ht="48" x14ac:dyDescent="0.2">
      <c r="A47" s="1" t="s">
        <v>94</v>
      </c>
      <c r="B47" s="1" t="s">
        <v>95</v>
      </c>
      <c r="C47" s="1" t="s">
        <v>132</v>
      </c>
      <c r="D47" s="1">
        <v>19</v>
      </c>
      <c r="E47" s="1">
        <v>1392</v>
      </c>
      <c r="F47" s="1">
        <v>1392</v>
      </c>
      <c r="G47" s="1" t="s">
        <v>2</v>
      </c>
      <c r="H47" s="4">
        <v>3.01656830893468</v>
      </c>
      <c r="I47" s="4">
        <f t="shared" si="1"/>
        <v>6.03313661786936</v>
      </c>
      <c r="J47" s="1">
        <v>3.01656830893468</v>
      </c>
      <c r="K47" s="1" t="s">
        <v>2</v>
      </c>
      <c r="L47" s="1" t="s">
        <v>3</v>
      </c>
    </row>
    <row r="48" spans="1:12" ht="48" x14ac:dyDescent="0.2">
      <c r="A48" s="1" t="s">
        <v>96</v>
      </c>
      <c r="B48" s="1" t="s">
        <v>97</v>
      </c>
      <c r="C48" s="1" t="s">
        <v>132</v>
      </c>
      <c r="D48" s="1">
        <v>20</v>
      </c>
      <c r="E48" s="1">
        <v>2045</v>
      </c>
      <c r="F48" s="1">
        <v>2045</v>
      </c>
      <c r="G48" s="1" t="s">
        <v>2</v>
      </c>
      <c r="H48" s="4">
        <v>4.4048886138031902</v>
      </c>
      <c r="I48" s="4">
        <f t="shared" si="1"/>
        <v>8.8097772276063804</v>
      </c>
      <c r="J48" s="1">
        <v>4.4048886138031902</v>
      </c>
      <c r="K48" s="1" t="s">
        <v>2</v>
      </c>
      <c r="L48" s="1" t="s">
        <v>3</v>
      </c>
    </row>
    <row r="49" spans="1:12" ht="48" x14ac:dyDescent="0.2">
      <c r="A49" s="1" t="s">
        <v>98</v>
      </c>
      <c r="B49" s="1" t="s">
        <v>99</v>
      </c>
      <c r="C49" s="1" t="s">
        <v>132</v>
      </c>
      <c r="D49" s="1">
        <v>21</v>
      </c>
      <c r="E49" s="1">
        <v>2465</v>
      </c>
      <c r="F49" s="1">
        <v>2465</v>
      </c>
      <c r="G49" s="1" t="s">
        <v>2</v>
      </c>
      <c r="H49" s="4">
        <v>5.2833289040467504</v>
      </c>
      <c r="I49" s="4">
        <f t="shared" si="1"/>
        <v>10.566657808093501</v>
      </c>
      <c r="J49" s="1">
        <v>5.2833289040467504</v>
      </c>
      <c r="K49" s="1" t="s">
        <v>2</v>
      </c>
      <c r="L49" s="1" t="s">
        <v>3</v>
      </c>
    </row>
    <row r="50" spans="1:12" ht="48" x14ac:dyDescent="0.2">
      <c r="A50" s="1" t="s">
        <v>100</v>
      </c>
      <c r="B50" s="1" t="s">
        <v>101</v>
      </c>
      <c r="C50" s="1" t="s">
        <v>132</v>
      </c>
      <c r="D50" s="1">
        <v>22</v>
      </c>
      <c r="E50" s="1">
        <v>1096</v>
      </c>
      <c r="F50" s="1">
        <v>1096</v>
      </c>
      <c r="G50" s="1" t="s">
        <v>2</v>
      </c>
      <c r="H50" s="4">
        <v>2.3750997347640199</v>
      </c>
      <c r="I50" s="4">
        <f t="shared" si="1"/>
        <v>4.7501994695280398</v>
      </c>
      <c r="J50" s="1">
        <v>2.3750997347640199</v>
      </c>
      <c r="K50" s="1" t="s">
        <v>2</v>
      </c>
      <c r="L50" s="1" t="s">
        <v>3</v>
      </c>
    </row>
    <row r="51" spans="1:12" ht="48" x14ac:dyDescent="0.2">
      <c r="A51" s="1" t="s">
        <v>102</v>
      </c>
      <c r="B51" s="1" t="s">
        <v>103</v>
      </c>
      <c r="C51" s="1" t="s">
        <v>132</v>
      </c>
      <c r="D51" s="1">
        <v>23</v>
      </c>
      <c r="E51" s="1">
        <v>5715</v>
      </c>
      <c r="F51" s="1">
        <v>5715</v>
      </c>
      <c r="G51" s="1" t="s">
        <v>2</v>
      </c>
      <c r="H51" s="4">
        <v>11.859227077027001</v>
      </c>
      <c r="I51" s="4">
        <f t="shared" si="1"/>
        <v>23.718454154054001</v>
      </c>
      <c r="J51" s="1">
        <v>11.859227077027001</v>
      </c>
      <c r="K51" s="1" t="s">
        <v>2</v>
      </c>
      <c r="L51" s="1" t="s">
        <v>3</v>
      </c>
    </row>
    <row r="52" spans="1:12" ht="48" x14ac:dyDescent="0.2">
      <c r="A52" s="1" t="s">
        <v>104</v>
      </c>
      <c r="B52" s="1" t="s">
        <v>105</v>
      </c>
      <c r="C52" s="1" t="s">
        <v>132</v>
      </c>
      <c r="D52" s="1">
        <v>24</v>
      </c>
      <c r="E52" s="1">
        <v>1117</v>
      </c>
      <c r="F52" s="1">
        <v>1117</v>
      </c>
      <c r="G52" s="1" t="s">
        <v>2</v>
      </c>
      <c r="H52" s="4">
        <v>2.4209266263665099</v>
      </c>
      <c r="I52" s="4">
        <f t="shared" si="1"/>
        <v>4.8418532527330198</v>
      </c>
      <c r="J52" s="1">
        <v>2.4209266263665099</v>
      </c>
      <c r="K52" s="1" t="s">
        <v>2</v>
      </c>
      <c r="L52" s="1" t="s">
        <v>3</v>
      </c>
    </row>
    <row r="53" spans="1:12" ht="48" x14ac:dyDescent="0.2">
      <c r="A53" s="1" t="s">
        <v>106</v>
      </c>
      <c r="B53" s="1" t="s">
        <v>107</v>
      </c>
      <c r="C53" s="1" t="s">
        <v>132</v>
      </c>
      <c r="D53" s="1">
        <v>25</v>
      </c>
      <c r="E53" s="1">
        <v>739</v>
      </c>
      <c r="F53" s="1">
        <v>739</v>
      </c>
      <c r="G53" s="1" t="s">
        <v>2</v>
      </c>
      <c r="H53" s="4">
        <v>1.58668612735099</v>
      </c>
      <c r="I53" s="4">
        <f t="shared" si="1"/>
        <v>3.17337225470198</v>
      </c>
      <c r="J53" s="1">
        <v>1.58668612735099</v>
      </c>
      <c r="K53" s="1" t="s">
        <v>2</v>
      </c>
      <c r="L53" s="1" t="s">
        <v>3</v>
      </c>
    </row>
    <row r="54" spans="1:12" ht="48" x14ac:dyDescent="0.2">
      <c r="A54" s="1" t="s">
        <v>108</v>
      </c>
      <c r="B54" s="1" t="s">
        <v>109</v>
      </c>
      <c r="C54" s="1" t="s">
        <v>132</v>
      </c>
      <c r="D54" s="1">
        <v>26</v>
      </c>
      <c r="E54" s="1">
        <v>6165</v>
      </c>
      <c r="F54" s="1">
        <v>6165</v>
      </c>
      <c r="G54" s="1" t="s">
        <v>2</v>
      </c>
      <c r="H54" s="4">
        <v>12.7487578562948</v>
      </c>
      <c r="I54" s="4">
        <f t="shared" si="1"/>
        <v>25.4975157125896</v>
      </c>
      <c r="J54" s="1">
        <v>12.7487578562948</v>
      </c>
      <c r="K54" s="1" t="s">
        <v>2</v>
      </c>
      <c r="L54" s="1" t="s">
        <v>3</v>
      </c>
    </row>
    <row r="55" spans="1:12" ht="48" x14ac:dyDescent="0.2">
      <c r="A55" s="1" t="s">
        <v>110</v>
      </c>
      <c r="B55" s="1" t="s">
        <v>111</v>
      </c>
      <c r="C55" s="1" t="s">
        <v>132</v>
      </c>
      <c r="D55" s="1">
        <v>27</v>
      </c>
      <c r="E55" s="1">
        <v>1099</v>
      </c>
      <c r="F55" s="1">
        <v>1099</v>
      </c>
      <c r="G55" s="1" t="s">
        <v>2</v>
      </c>
      <c r="H55" s="4">
        <v>2.3816496854135099</v>
      </c>
      <c r="I55" s="4">
        <f t="shared" si="1"/>
        <v>4.7632993708270197</v>
      </c>
      <c r="J55" s="1">
        <v>2.3816496854135099</v>
      </c>
      <c r="K55" s="1" t="s">
        <v>2</v>
      </c>
      <c r="L55" s="1" t="s">
        <v>3</v>
      </c>
    </row>
    <row r="56" spans="1:12" ht="48" x14ac:dyDescent="0.2">
      <c r="A56" s="1" t="s">
        <v>112</v>
      </c>
      <c r="B56" s="1" t="s">
        <v>113</v>
      </c>
      <c r="C56" s="1" t="s">
        <v>132</v>
      </c>
      <c r="D56" s="1">
        <v>28</v>
      </c>
      <c r="E56" s="1">
        <v>1392</v>
      </c>
      <c r="F56" s="1">
        <v>1392</v>
      </c>
      <c r="G56" s="1" t="s">
        <v>2</v>
      </c>
      <c r="H56" s="4">
        <v>3.01656830893468</v>
      </c>
      <c r="I56" s="4">
        <f t="shared" si="1"/>
        <v>6.03313661786936</v>
      </c>
      <c r="J56" s="1">
        <v>3.01656830893468</v>
      </c>
      <c r="K56" s="1" t="s">
        <v>2</v>
      </c>
      <c r="L56" s="1" t="s">
        <v>3</v>
      </c>
    </row>
    <row r="57" spans="1:12" ht="48" x14ac:dyDescent="0.2">
      <c r="A57" s="1" t="s">
        <v>114</v>
      </c>
      <c r="B57" s="1" t="s">
        <v>115</v>
      </c>
      <c r="C57" s="1" t="s">
        <v>132</v>
      </c>
      <c r="D57" s="1">
        <v>29</v>
      </c>
      <c r="E57" s="1">
        <v>888</v>
      </c>
      <c r="F57" s="1">
        <v>888</v>
      </c>
      <c r="G57" s="1" t="s">
        <v>2</v>
      </c>
      <c r="H57" s="4">
        <v>1.9180951122115599</v>
      </c>
      <c r="I57" s="4">
        <f t="shared" si="1"/>
        <v>3.8361902244231199</v>
      </c>
      <c r="J57" s="1">
        <v>1.9180951122115599</v>
      </c>
      <c r="K57" s="1" t="s">
        <v>2</v>
      </c>
      <c r="L57" s="1" t="s">
        <v>3</v>
      </c>
    </row>
    <row r="58" spans="1:12" ht="48" x14ac:dyDescent="0.2">
      <c r="A58" s="1" t="s">
        <v>116</v>
      </c>
      <c r="B58" s="1" t="s">
        <v>117</v>
      </c>
      <c r="C58" s="1" t="s">
        <v>132</v>
      </c>
      <c r="D58" s="1">
        <v>30</v>
      </c>
      <c r="E58" s="1">
        <v>6030</v>
      </c>
      <c r="F58" s="1">
        <v>6030</v>
      </c>
      <c r="G58" s="1" t="s">
        <v>2</v>
      </c>
      <c r="H58" s="4">
        <v>12.4823048884172</v>
      </c>
      <c r="I58" s="4">
        <f t="shared" si="1"/>
        <v>24.964609776834401</v>
      </c>
      <c r="J58" s="1">
        <v>12.4823048884172</v>
      </c>
      <c r="K58" s="1" t="s">
        <v>2</v>
      </c>
      <c r="L58" s="1" t="s">
        <v>3</v>
      </c>
    </row>
    <row r="59" spans="1:12" ht="48" x14ac:dyDescent="0.2">
      <c r="A59" s="1" t="s">
        <v>118</v>
      </c>
      <c r="B59" s="1" t="s">
        <v>119</v>
      </c>
      <c r="C59" s="1" t="s">
        <v>132</v>
      </c>
      <c r="D59" s="1">
        <v>31</v>
      </c>
      <c r="E59" s="1">
        <v>11020</v>
      </c>
      <c r="F59" s="1">
        <v>11020</v>
      </c>
      <c r="G59" s="1" t="s">
        <v>2</v>
      </c>
      <c r="H59" s="4">
        <v>22.151625470949</v>
      </c>
      <c r="I59" s="4">
        <f t="shared" si="1"/>
        <v>44.303250941898</v>
      </c>
      <c r="J59" s="1">
        <v>22.151625470949</v>
      </c>
      <c r="K59" s="1" t="s">
        <v>2</v>
      </c>
      <c r="L59" s="1" t="s">
        <v>3</v>
      </c>
    </row>
    <row r="60" spans="1:12" ht="48" x14ac:dyDescent="0.2">
      <c r="A60" s="1" t="s">
        <v>120</v>
      </c>
      <c r="B60" s="1" t="s">
        <v>121</v>
      </c>
      <c r="C60" s="1" t="s">
        <v>132</v>
      </c>
      <c r="D60" s="1">
        <v>32</v>
      </c>
      <c r="E60" s="1">
        <v>2366</v>
      </c>
      <c r="F60" s="1">
        <v>2366</v>
      </c>
      <c r="G60" s="1" t="s">
        <v>2</v>
      </c>
      <c r="H60" s="4">
        <v>5.0771218339814297</v>
      </c>
      <c r="I60" s="4">
        <f t="shared" si="1"/>
        <v>10.154243667962859</v>
      </c>
      <c r="J60" s="1">
        <v>5.0771218339814297</v>
      </c>
      <c r="K60" s="1" t="s">
        <v>2</v>
      </c>
      <c r="L60" s="1" t="s">
        <v>3</v>
      </c>
    </row>
    <row r="61" spans="1:12" x14ac:dyDescent="0.2">
      <c r="H61"/>
      <c r="I61"/>
    </row>
    <row r="62" spans="1:12" x14ac:dyDescent="0.2">
      <c r="H62"/>
      <c r="I62"/>
    </row>
    <row r="63" spans="1:12" x14ac:dyDescent="0.2">
      <c r="H63"/>
      <c r="I63"/>
    </row>
    <row r="64" spans="1:12" x14ac:dyDescent="0.2">
      <c r="H64"/>
      <c r="I64"/>
    </row>
    <row r="65" spans="8:9" x14ac:dyDescent="0.2">
      <c r="H65"/>
      <c r="I65"/>
    </row>
    <row r="66" spans="8:9" x14ac:dyDescent="0.2">
      <c r="H66"/>
      <c r="I66"/>
    </row>
    <row r="67" spans="8:9" x14ac:dyDescent="0.2">
      <c r="H67"/>
      <c r="I67"/>
    </row>
    <row r="68" spans="8:9" x14ac:dyDescent="0.2">
      <c r="H68"/>
      <c r="I68"/>
    </row>
    <row r="69" spans="8:9" x14ac:dyDescent="0.2">
      <c r="H69"/>
      <c r="I69"/>
    </row>
    <row r="70" spans="8:9" x14ac:dyDescent="0.2">
      <c r="H70"/>
      <c r="I70"/>
    </row>
    <row r="71" spans="8:9" x14ac:dyDescent="0.2">
      <c r="H71"/>
      <c r="I71"/>
    </row>
    <row r="72" spans="8:9" x14ac:dyDescent="0.2">
      <c r="H72"/>
      <c r="I72"/>
    </row>
    <row r="73" spans="8:9" x14ac:dyDescent="0.2">
      <c r="H73"/>
      <c r="I73"/>
    </row>
    <row r="74" spans="8:9" x14ac:dyDescent="0.2">
      <c r="H74"/>
      <c r="I74"/>
    </row>
    <row r="75" spans="8:9" x14ac:dyDescent="0.2">
      <c r="H75"/>
      <c r="I75"/>
    </row>
    <row r="76" spans="8:9" x14ac:dyDescent="0.2">
      <c r="H76"/>
      <c r="I76"/>
    </row>
    <row r="77" spans="8:9" x14ac:dyDescent="0.2">
      <c r="H77"/>
      <c r="I77"/>
    </row>
    <row r="78" spans="8:9" x14ac:dyDescent="0.2">
      <c r="H78"/>
      <c r="I78"/>
    </row>
    <row r="79" spans="8:9" x14ac:dyDescent="0.2">
      <c r="H79"/>
      <c r="I79"/>
    </row>
    <row r="80" spans="8:9" x14ac:dyDescent="0.2">
      <c r="H80"/>
      <c r="I80"/>
    </row>
    <row r="81" spans="8:9" x14ac:dyDescent="0.2">
      <c r="H81"/>
      <c r="I8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81"/>
  <sheetViews>
    <sheetView workbookViewId="0">
      <selection activeCell="I2" sqref="I2"/>
    </sheetView>
  </sheetViews>
  <sheetFormatPr baseColWidth="10" defaultColWidth="8.83203125" defaultRowHeight="15" x14ac:dyDescent="0.2"/>
  <cols>
    <col min="8" max="9" width="14.33203125" style="5" customWidth="1"/>
    <col min="10" max="10" width="13.6640625" customWidth="1"/>
    <col min="12" max="12" width="17.33203125" customWidth="1"/>
  </cols>
  <sheetData>
    <row r="1" spans="1:12" s="2" customFormat="1" x14ac:dyDescent="0.2">
      <c r="A1" s="2" t="s">
        <v>122</v>
      </c>
      <c r="B1" s="2" t="s">
        <v>125</v>
      </c>
      <c r="C1" s="2" t="s">
        <v>133</v>
      </c>
      <c r="D1" s="2" t="s">
        <v>134</v>
      </c>
      <c r="E1" s="2" t="s">
        <v>126</v>
      </c>
      <c r="F1" s="2" t="s">
        <v>127</v>
      </c>
      <c r="G1" s="2" t="s">
        <v>123</v>
      </c>
      <c r="H1" s="3" t="s">
        <v>128</v>
      </c>
      <c r="I1" s="3" t="s">
        <v>135</v>
      </c>
      <c r="J1" s="2" t="s">
        <v>129</v>
      </c>
      <c r="K1" s="2" t="s">
        <v>130</v>
      </c>
      <c r="L1" s="2" t="s">
        <v>124</v>
      </c>
    </row>
    <row r="2" spans="1:12" ht="16" x14ac:dyDescent="0.2">
      <c r="A2" s="1" t="s">
        <v>0</v>
      </c>
      <c r="B2" s="1" t="s">
        <v>1</v>
      </c>
      <c r="C2" s="1" t="s">
        <v>131</v>
      </c>
      <c r="D2" s="1">
        <v>4</v>
      </c>
      <c r="E2" s="1">
        <v>2197</v>
      </c>
      <c r="F2" s="1">
        <v>2197</v>
      </c>
      <c r="G2" s="1" t="s">
        <v>2</v>
      </c>
      <c r="H2" s="4">
        <v>7.8618127864055998</v>
      </c>
      <c r="I2" s="4">
        <f>IF(H2="NaN",0,H2*2)</f>
        <v>15.7236255728112</v>
      </c>
      <c r="J2" s="1">
        <v>7.8618127864055998</v>
      </c>
      <c r="K2" s="1" t="s">
        <v>2</v>
      </c>
      <c r="L2" s="1" t="s">
        <v>3</v>
      </c>
    </row>
    <row r="3" spans="1:12" ht="16" x14ac:dyDescent="0.2">
      <c r="A3" s="1" t="s">
        <v>4</v>
      </c>
      <c r="B3" s="1" t="s">
        <v>5</v>
      </c>
      <c r="C3" s="1" t="s">
        <v>131</v>
      </c>
      <c r="D3" s="1">
        <v>5</v>
      </c>
      <c r="E3" s="1">
        <v>3078</v>
      </c>
      <c r="F3" s="1">
        <v>3078</v>
      </c>
      <c r="G3" s="1" t="s">
        <v>2</v>
      </c>
      <c r="H3" s="4">
        <v>11.319533363548301</v>
      </c>
      <c r="I3" s="4">
        <f>IF(H3="NaN",0,H3*4)</f>
        <v>45.278133454193203</v>
      </c>
      <c r="J3" s="1">
        <v>11.319533363548301</v>
      </c>
      <c r="K3" s="1" t="s">
        <v>2</v>
      </c>
      <c r="L3" s="1" t="s">
        <v>3</v>
      </c>
    </row>
    <row r="4" spans="1:12" ht="16" x14ac:dyDescent="0.2">
      <c r="A4" s="1" t="s">
        <v>7</v>
      </c>
      <c r="B4" s="1" t="s">
        <v>8</v>
      </c>
      <c r="C4" s="1" t="s">
        <v>131</v>
      </c>
      <c r="D4" s="1">
        <v>6</v>
      </c>
      <c r="E4" s="1">
        <v>1844</v>
      </c>
      <c r="F4" s="1">
        <v>1844</v>
      </c>
      <c r="G4" s="1" t="s">
        <v>2</v>
      </c>
      <c r="H4" s="4">
        <v>6.4703259214260402</v>
      </c>
      <c r="I4" s="4">
        <f>IF(H4="NaN",0,H4*4)</f>
        <v>25.881303685704161</v>
      </c>
      <c r="J4" s="1">
        <v>6.4703259214260402</v>
      </c>
      <c r="K4" s="1" t="s">
        <v>2</v>
      </c>
      <c r="L4" s="1" t="s">
        <v>3</v>
      </c>
    </row>
    <row r="5" spans="1:12" ht="16" x14ac:dyDescent="0.2">
      <c r="A5" s="1" t="s">
        <v>9</v>
      </c>
      <c r="B5" s="1" t="s">
        <v>10</v>
      </c>
      <c r="C5" s="1" t="s">
        <v>131</v>
      </c>
      <c r="D5" s="1">
        <v>7</v>
      </c>
      <c r="E5" s="1">
        <v>2044</v>
      </c>
      <c r="F5" s="1">
        <v>2044</v>
      </c>
      <c r="G5" s="1" t="s">
        <v>2</v>
      </c>
      <c r="H5" s="4">
        <v>7.2592046371059498</v>
      </c>
      <c r="I5" s="4">
        <f t="shared" ref="I5:I14" si="0">IF(H5="NaN",0,H5*4)</f>
        <v>29.036818548423799</v>
      </c>
      <c r="J5" s="1">
        <v>7.2592046371059498</v>
      </c>
      <c r="K5" s="1" t="s">
        <v>2</v>
      </c>
      <c r="L5" s="1" t="s">
        <v>3</v>
      </c>
    </row>
    <row r="6" spans="1:12" ht="16" x14ac:dyDescent="0.2">
      <c r="A6" s="1" t="s">
        <v>11</v>
      </c>
      <c r="B6" s="1" t="s">
        <v>12</v>
      </c>
      <c r="C6" s="1" t="s">
        <v>131</v>
      </c>
      <c r="D6" s="1">
        <v>8</v>
      </c>
      <c r="E6" s="1">
        <v>2522</v>
      </c>
      <c r="F6" s="1">
        <v>2522</v>
      </c>
      <c r="G6" s="1" t="s">
        <v>2</v>
      </c>
      <c r="H6" s="4">
        <v>9.1396066022138598</v>
      </c>
      <c r="I6" s="4">
        <f t="shared" si="0"/>
        <v>36.558426408855439</v>
      </c>
      <c r="J6" s="1">
        <v>9.1396066022138598</v>
      </c>
      <c r="K6" s="1" t="s">
        <v>2</v>
      </c>
      <c r="L6" s="1" t="s">
        <v>3</v>
      </c>
    </row>
    <row r="7" spans="1:12" ht="16" x14ac:dyDescent="0.2">
      <c r="A7" s="1" t="s">
        <v>13</v>
      </c>
      <c r="B7" s="1" t="s">
        <v>14</v>
      </c>
      <c r="C7" s="1" t="s">
        <v>131</v>
      </c>
      <c r="D7" s="1">
        <v>9</v>
      </c>
      <c r="E7" s="1">
        <v>1631</v>
      </c>
      <c r="F7" s="1">
        <v>1631</v>
      </c>
      <c r="G7" s="1" t="s">
        <v>2</v>
      </c>
      <c r="H7" s="4">
        <v>5.6285564578529197</v>
      </c>
      <c r="I7" s="4">
        <f t="shared" si="0"/>
        <v>22.514225831411679</v>
      </c>
      <c r="J7" s="1">
        <v>5.6285564578529197</v>
      </c>
      <c r="K7" s="1" t="s">
        <v>2</v>
      </c>
      <c r="L7" s="1" t="s">
        <v>3</v>
      </c>
    </row>
    <row r="8" spans="1:12" ht="16" x14ac:dyDescent="0.2">
      <c r="A8" s="1" t="s">
        <v>15</v>
      </c>
      <c r="B8" s="1" t="s">
        <v>16</v>
      </c>
      <c r="C8" s="1" t="s">
        <v>131</v>
      </c>
      <c r="D8" s="1">
        <v>10</v>
      </c>
      <c r="E8" s="1">
        <v>2171</v>
      </c>
      <c r="F8" s="1">
        <v>2171</v>
      </c>
      <c r="G8" s="1" t="s">
        <v>2</v>
      </c>
      <c r="H8" s="4">
        <v>7.7594596282076402</v>
      </c>
      <c r="I8" s="4">
        <f t="shared" si="0"/>
        <v>31.037838512830561</v>
      </c>
      <c r="J8" s="1">
        <v>7.7594596282076402</v>
      </c>
      <c r="K8" s="1" t="s">
        <v>2</v>
      </c>
      <c r="L8" s="1" t="s">
        <v>3</v>
      </c>
    </row>
    <row r="9" spans="1:12" ht="32" x14ac:dyDescent="0.2">
      <c r="A9" s="1" t="s">
        <v>17</v>
      </c>
      <c r="B9" s="1" t="s">
        <v>18</v>
      </c>
      <c r="C9" s="1" t="s">
        <v>131</v>
      </c>
      <c r="D9" s="1">
        <v>11</v>
      </c>
      <c r="E9" s="1">
        <v>316</v>
      </c>
      <c r="F9" s="1">
        <v>316</v>
      </c>
      <c r="G9" s="1" t="s">
        <v>2</v>
      </c>
      <c r="H9" s="4">
        <v>0.36196942266763799</v>
      </c>
      <c r="I9" s="4">
        <f t="shared" si="0"/>
        <v>1.4478776906705519</v>
      </c>
      <c r="J9" s="1">
        <v>0.36196942266763799</v>
      </c>
      <c r="K9" s="1" t="s">
        <v>2</v>
      </c>
      <c r="L9" s="1" t="s">
        <v>6</v>
      </c>
    </row>
    <row r="10" spans="1:12" ht="16" x14ac:dyDescent="0.2">
      <c r="A10" s="1" t="s">
        <v>20</v>
      </c>
      <c r="B10" s="1" t="s">
        <v>21</v>
      </c>
      <c r="C10" s="1" t="s">
        <v>131</v>
      </c>
      <c r="D10" s="1">
        <v>12</v>
      </c>
      <c r="E10" s="1">
        <v>2785</v>
      </c>
      <c r="F10" s="1">
        <v>2785</v>
      </c>
      <c r="G10" s="1" t="s">
        <v>2</v>
      </c>
      <c r="H10" s="4">
        <v>10.171638145617001</v>
      </c>
      <c r="I10" s="4">
        <f t="shared" si="0"/>
        <v>40.686552582468003</v>
      </c>
      <c r="J10" s="1">
        <v>10.171638145617001</v>
      </c>
      <c r="K10" s="1" t="s">
        <v>2</v>
      </c>
      <c r="L10" s="1" t="s">
        <v>3</v>
      </c>
    </row>
    <row r="11" spans="1:12" ht="32" x14ac:dyDescent="0.2">
      <c r="A11" s="1" t="s">
        <v>22</v>
      </c>
      <c r="B11" s="1" t="s">
        <v>23</v>
      </c>
      <c r="C11" s="1" t="s">
        <v>131</v>
      </c>
      <c r="D11" s="1">
        <v>13</v>
      </c>
      <c r="E11" s="1">
        <v>269</v>
      </c>
      <c r="F11" s="1">
        <v>269</v>
      </c>
      <c r="G11" s="1" t="s">
        <v>2</v>
      </c>
      <c r="H11" s="4">
        <v>0.16712956742341001</v>
      </c>
      <c r="I11" s="4">
        <f t="shared" si="0"/>
        <v>0.66851826969364003</v>
      </c>
      <c r="J11" s="1">
        <v>0.16712956742341001</v>
      </c>
      <c r="K11" s="1" t="s">
        <v>2</v>
      </c>
      <c r="L11" s="1" t="s">
        <v>6</v>
      </c>
    </row>
    <row r="12" spans="1:12" ht="16" x14ac:dyDescent="0.2">
      <c r="A12" s="1" t="s">
        <v>24</v>
      </c>
      <c r="B12" s="1" t="s">
        <v>25</v>
      </c>
      <c r="C12" s="1" t="s">
        <v>131</v>
      </c>
      <c r="D12" s="1">
        <v>14</v>
      </c>
      <c r="E12" s="1">
        <v>2022</v>
      </c>
      <c r="F12" s="1">
        <v>2022</v>
      </c>
      <c r="G12" s="1" t="s">
        <v>2</v>
      </c>
      <c r="H12" s="4">
        <v>7.1724942003557297</v>
      </c>
      <c r="I12" s="4">
        <f t="shared" si="0"/>
        <v>28.689976801422919</v>
      </c>
      <c r="J12" s="1">
        <v>7.1724942003557297</v>
      </c>
      <c r="K12" s="1" t="s">
        <v>2</v>
      </c>
      <c r="L12" s="1" t="s">
        <v>3</v>
      </c>
    </row>
    <row r="13" spans="1:12" ht="16" x14ac:dyDescent="0.2">
      <c r="A13" s="1" t="s">
        <v>26</v>
      </c>
      <c r="B13" s="1" t="s">
        <v>27</v>
      </c>
      <c r="C13" s="1" t="s">
        <v>131</v>
      </c>
      <c r="D13" s="1">
        <v>15</v>
      </c>
      <c r="E13" s="1">
        <v>1853</v>
      </c>
      <c r="F13" s="1">
        <v>1853</v>
      </c>
      <c r="G13" s="1" t="s">
        <v>2</v>
      </c>
      <c r="H13" s="4">
        <v>6.50585552451345</v>
      </c>
      <c r="I13" s="4">
        <f t="shared" si="0"/>
        <v>26.0234220980538</v>
      </c>
      <c r="J13" s="1">
        <v>6.50585552451345</v>
      </c>
      <c r="K13" s="1" t="s">
        <v>2</v>
      </c>
      <c r="L13" s="1" t="s">
        <v>3</v>
      </c>
    </row>
    <row r="14" spans="1:12" ht="16" x14ac:dyDescent="0.2">
      <c r="A14" s="1" t="s">
        <v>28</v>
      </c>
      <c r="B14" s="1" t="s">
        <v>29</v>
      </c>
      <c r="C14" s="1" t="s">
        <v>131</v>
      </c>
      <c r="D14" s="1">
        <v>16</v>
      </c>
      <c r="E14" s="1">
        <v>2023</v>
      </c>
      <c r="F14" s="1">
        <v>2023</v>
      </c>
      <c r="G14" s="1" t="s">
        <v>2</v>
      </c>
      <c r="H14" s="4">
        <v>7.17643592675965</v>
      </c>
      <c r="I14" s="4">
        <f t="shared" si="0"/>
        <v>28.7057437070386</v>
      </c>
      <c r="J14" s="1">
        <v>7.17643592675965</v>
      </c>
      <c r="K14" s="1" t="s">
        <v>2</v>
      </c>
      <c r="L14" s="1" t="s">
        <v>3</v>
      </c>
    </row>
    <row r="15" spans="1:12" ht="16" x14ac:dyDescent="0.2">
      <c r="A15" s="1" t="s">
        <v>30</v>
      </c>
      <c r="B15" s="1" t="s">
        <v>31</v>
      </c>
      <c r="C15" s="1" t="s">
        <v>131</v>
      </c>
      <c r="D15" s="1">
        <v>17</v>
      </c>
      <c r="E15" s="1">
        <v>1748</v>
      </c>
      <c r="F15" s="1">
        <v>1748</v>
      </c>
      <c r="G15" s="1" t="s">
        <v>2</v>
      </c>
      <c r="H15" s="4">
        <v>6.0911561506831404</v>
      </c>
      <c r="I15" s="4">
        <f t="shared" ref="I15:I60" si="1">IF(H15="NaN",0,H15*2)</f>
        <v>12.182312301366281</v>
      </c>
      <c r="J15" s="1">
        <v>6.0911561506831404</v>
      </c>
      <c r="K15" s="1" t="s">
        <v>2</v>
      </c>
      <c r="L15" s="1" t="s">
        <v>3</v>
      </c>
    </row>
    <row r="16" spans="1:12" ht="16" x14ac:dyDescent="0.2">
      <c r="A16" s="1" t="s">
        <v>32</v>
      </c>
      <c r="B16" s="1" t="s">
        <v>33</v>
      </c>
      <c r="C16" s="1" t="s">
        <v>131</v>
      </c>
      <c r="D16" s="1">
        <v>18</v>
      </c>
      <c r="E16" s="1">
        <v>1647</v>
      </c>
      <c r="F16" s="1">
        <v>1647</v>
      </c>
      <c r="G16" s="1" t="s">
        <v>2</v>
      </c>
      <c r="H16" s="4">
        <v>5.6918509438833098</v>
      </c>
      <c r="I16" s="4">
        <f t="shared" si="1"/>
        <v>11.38370188776662</v>
      </c>
      <c r="J16" s="1">
        <v>5.6918509438833098</v>
      </c>
      <c r="K16" s="1" t="s">
        <v>2</v>
      </c>
      <c r="L16" s="1" t="s">
        <v>3</v>
      </c>
    </row>
    <row r="17" spans="1:12" ht="16" x14ac:dyDescent="0.2">
      <c r="A17" s="1" t="s">
        <v>34</v>
      </c>
      <c r="B17" s="1" t="s">
        <v>35</v>
      </c>
      <c r="C17" s="1" t="s">
        <v>131</v>
      </c>
      <c r="D17" s="1">
        <v>19</v>
      </c>
      <c r="E17" s="1">
        <v>1950</v>
      </c>
      <c r="F17" s="1">
        <v>1950</v>
      </c>
      <c r="G17" s="1" t="s">
        <v>2</v>
      </c>
      <c r="H17" s="4">
        <v>6.8886025168247098</v>
      </c>
      <c r="I17" s="4">
        <f t="shared" si="1"/>
        <v>13.77720503364942</v>
      </c>
      <c r="J17" s="1">
        <v>6.8886025168247098</v>
      </c>
      <c r="K17" s="1" t="s">
        <v>2</v>
      </c>
      <c r="L17" s="1" t="s">
        <v>3</v>
      </c>
    </row>
    <row r="18" spans="1:12" ht="16" x14ac:dyDescent="0.2">
      <c r="A18" s="1" t="s">
        <v>36</v>
      </c>
      <c r="B18" s="1" t="s">
        <v>37</v>
      </c>
      <c r="C18" s="1" t="s">
        <v>131</v>
      </c>
      <c r="D18" s="1">
        <v>20</v>
      </c>
      <c r="E18" s="1">
        <v>2763</v>
      </c>
      <c r="F18" s="1">
        <v>2763</v>
      </c>
      <c r="G18" s="1" t="s">
        <v>2</v>
      </c>
      <c r="H18" s="4">
        <v>10.0853715404445</v>
      </c>
      <c r="I18" s="4">
        <f t="shared" si="1"/>
        <v>20.170743080889</v>
      </c>
      <c r="J18" s="1">
        <v>10.0853715404445</v>
      </c>
      <c r="K18" s="1" t="s">
        <v>2</v>
      </c>
      <c r="L18" s="1" t="s">
        <v>3</v>
      </c>
    </row>
    <row r="19" spans="1:12" ht="16" x14ac:dyDescent="0.2">
      <c r="A19" s="1" t="s">
        <v>38</v>
      </c>
      <c r="B19" s="1" t="s">
        <v>39</v>
      </c>
      <c r="C19" s="1" t="s">
        <v>131</v>
      </c>
      <c r="D19" s="1">
        <v>21</v>
      </c>
      <c r="E19" s="1">
        <v>2274</v>
      </c>
      <c r="F19" s="1">
        <v>2274</v>
      </c>
      <c r="G19" s="1" t="s">
        <v>2</v>
      </c>
      <c r="H19" s="4">
        <v>8.1648183086750592</v>
      </c>
      <c r="I19" s="4">
        <f t="shared" si="1"/>
        <v>16.329636617350118</v>
      </c>
      <c r="J19" s="1">
        <v>8.1648183086750592</v>
      </c>
      <c r="K19" s="1" t="s">
        <v>2</v>
      </c>
      <c r="L19" s="1" t="s">
        <v>3</v>
      </c>
    </row>
    <row r="20" spans="1:12" ht="16" x14ac:dyDescent="0.2">
      <c r="A20" s="1" t="s">
        <v>40</v>
      </c>
      <c r="B20" s="1" t="s">
        <v>41</v>
      </c>
      <c r="C20" s="1" t="s">
        <v>131</v>
      </c>
      <c r="D20" s="1">
        <v>22</v>
      </c>
      <c r="E20" s="1">
        <v>986</v>
      </c>
      <c r="F20" s="1">
        <v>986</v>
      </c>
      <c r="G20" s="1" t="s">
        <v>2</v>
      </c>
      <c r="H20" s="4">
        <v>3.0662048486720002</v>
      </c>
      <c r="I20" s="4">
        <f t="shared" si="1"/>
        <v>6.1324096973440003</v>
      </c>
      <c r="J20" s="1">
        <v>3.0662048486720002</v>
      </c>
      <c r="K20" s="1" t="s">
        <v>2</v>
      </c>
      <c r="L20" s="1" t="s">
        <v>3</v>
      </c>
    </row>
    <row r="21" spans="1:12" ht="16" x14ac:dyDescent="0.2">
      <c r="A21" s="1" t="s">
        <v>42</v>
      </c>
      <c r="B21" s="1" t="s">
        <v>43</v>
      </c>
      <c r="C21" s="1" t="s">
        <v>131</v>
      </c>
      <c r="D21" s="1">
        <v>23</v>
      </c>
      <c r="E21" s="1">
        <v>1570</v>
      </c>
      <c r="F21" s="1">
        <v>1570</v>
      </c>
      <c r="G21" s="1" t="s">
        <v>2</v>
      </c>
      <c r="H21" s="4">
        <v>5.3871461870730304</v>
      </c>
      <c r="I21" s="4">
        <f t="shared" si="1"/>
        <v>10.774292374146061</v>
      </c>
      <c r="J21" s="1">
        <v>5.3871461870730304</v>
      </c>
      <c r="K21" s="1" t="s">
        <v>2</v>
      </c>
      <c r="L21" s="1" t="s">
        <v>3</v>
      </c>
    </row>
    <row r="22" spans="1:12" ht="16" x14ac:dyDescent="0.2">
      <c r="A22" s="1" t="s">
        <v>44</v>
      </c>
      <c r="B22" s="1" t="s">
        <v>45</v>
      </c>
      <c r="C22" s="1" t="s">
        <v>131</v>
      </c>
      <c r="D22" s="1">
        <v>24</v>
      </c>
      <c r="E22" s="1">
        <v>2287</v>
      </c>
      <c r="F22" s="1">
        <v>2287</v>
      </c>
      <c r="G22" s="1" t="s">
        <v>2</v>
      </c>
      <c r="H22" s="4">
        <v>8.2159581187528197</v>
      </c>
      <c r="I22" s="4">
        <f t="shared" si="1"/>
        <v>16.431916237505639</v>
      </c>
      <c r="J22" s="1">
        <v>8.2159581187528197</v>
      </c>
      <c r="K22" s="1" t="s">
        <v>2</v>
      </c>
      <c r="L22" s="1" t="s">
        <v>3</v>
      </c>
    </row>
    <row r="23" spans="1:12" ht="16" x14ac:dyDescent="0.2">
      <c r="A23" s="1" t="s">
        <v>46</v>
      </c>
      <c r="B23" s="1" t="s">
        <v>47</v>
      </c>
      <c r="C23" s="1" t="s">
        <v>131</v>
      </c>
      <c r="D23" s="1">
        <v>25</v>
      </c>
      <c r="E23" s="1">
        <v>920</v>
      </c>
      <c r="F23" s="1">
        <v>920</v>
      </c>
      <c r="G23" s="1" t="s">
        <v>2</v>
      </c>
      <c r="H23" s="4">
        <v>2.80250082580574</v>
      </c>
      <c r="I23" s="4">
        <f>IF(H23="NaN",0,H23*2)</f>
        <v>5.60500165161148</v>
      </c>
      <c r="J23" s="1">
        <v>2.80250082580574</v>
      </c>
      <c r="K23" s="1" t="s">
        <v>2</v>
      </c>
      <c r="L23" s="1" t="s">
        <v>3</v>
      </c>
    </row>
    <row r="24" spans="1:12" ht="16" x14ac:dyDescent="0.2">
      <c r="A24" s="1" t="s">
        <v>48</v>
      </c>
      <c r="B24" s="1" t="s">
        <v>49</v>
      </c>
      <c r="C24" s="1" t="s">
        <v>131</v>
      </c>
      <c r="D24" s="1">
        <v>26</v>
      </c>
      <c r="E24" s="1">
        <v>1387</v>
      </c>
      <c r="F24" s="1">
        <v>1387</v>
      </c>
      <c r="G24" s="1" t="s">
        <v>2</v>
      </c>
      <c r="H24" s="4">
        <v>4.6618982697973896</v>
      </c>
      <c r="I24" s="4">
        <f t="shared" si="1"/>
        <v>9.3237965395947793</v>
      </c>
      <c r="J24" s="1">
        <v>4.6618982697973896</v>
      </c>
      <c r="K24" s="1" t="s">
        <v>2</v>
      </c>
      <c r="L24" s="1" t="s">
        <v>3</v>
      </c>
    </row>
    <row r="25" spans="1:12" ht="16" x14ac:dyDescent="0.2">
      <c r="A25" s="1" t="s">
        <v>50</v>
      </c>
      <c r="B25" s="1" t="s">
        <v>51</v>
      </c>
      <c r="C25" s="1" t="s">
        <v>131</v>
      </c>
      <c r="D25" s="1">
        <v>27</v>
      </c>
      <c r="E25" s="1">
        <v>2254</v>
      </c>
      <c r="F25" s="1">
        <v>2254</v>
      </c>
      <c r="G25" s="1" t="s">
        <v>2</v>
      </c>
      <c r="H25" s="4">
        <v>8.0861321983846306</v>
      </c>
      <c r="I25" s="4">
        <f t="shared" si="1"/>
        <v>16.172264396769261</v>
      </c>
      <c r="J25" s="1">
        <v>8.0861321983846306</v>
      </c>
      <c r="K25" s="1" t="s">
        <v>2</v>
      </c>
      <c r="L25" s="1" t="s">
        <v>3</v>
      </c>
    </row>
    <row r="26" spans="1:12" ht="16" x14ac:dyDescent="0.2">
      <c r="A26" s="1" t="s">
        <v>52</v>
      </c>
      <c r="B26" s="1" t="s">
        <v>53</v>
      </c>
      <c r="C26" s="1" t="s">
        <v>131</v>
      </c>
      <c r="D26" s="1">
        <v>28</v>
      </c>
      <c r="E26" s="1">
        <v>1038</v>
      </c>
      <c r="F26" s="1">
        <v>1038</v>
      </c>
      <c r="G26" s="1" t="s">
        <v>2</v>
      </c>
      <c r="H26" s="4">
        <v>3.2737279850296801</v>
      </c>
      <c r="I26" s="4">
        <f>IF(H26="NaN",0,H26*4)</f>
        <v>13.09491194011872</v>
      </c>
      <c r="J26" s="1">
        <v>3.2737279850296801</v>
      </c>
      <c r="K26" s="1" t="s">
        <v>2</v>
      </c>
      <c r="L26" s="1" t="s">
        <v>3</v>
      </c>
    </row>
    <row r="27" spans="1:12" ht="16" x14ac:dyDescent="0.2">
      <c r="A27" s="1" t="s">
        <v>54</v>
      </c>
      <c r="B27" s="1" t="s">
        <v>55</v>
      </c>
      <c r="C27" s="1" t="s">
        <v>131</v>
      </c>
      <c r="D27" s="1">
        <v>29</v>
      </c>
      <c r="E27" s="1">
        <v>2296</v>
      </c>
      <c r="F27" s="1">
        <v>2296</v>
      </c>
      <c r="G27" s="1" t="s">
        <v>2</v>
      </c>
      <c r="H27" s="4">
        <v>8.2513597786123292</v>
      </c>
      <c r="I27" s="4">
        <f t="shared" si="1"/>
        <v>16.502719557224658</v>
      </c>
      <c r="J27" s="1">
        <v>8.2513597786123292</v>
      </c>
      <c r="K27" s="1" t="s">
        <v>2</v>
      </c>
      <c r="L27" s="1" t="s">
        <v>3</v>
      </c>
    </row>
    <row r="28" spans="1:12" ht="16" x14ac:dyDescent="0.2">
      <c r="A28" s="1" t="s">
        <v>56</v>
      </c>
      <c r="B28" s="1" t="s">
        <v>57</v>
      </c>
      <c r="C28" s="1" t="s">
        <v>131</v>
      </c>
      <c r="D28" s="1">
        <v>30</v>
      </c>
      <c r="E28" s="1">
        <v>1924</v>
      </c>
      <c r="F28" s="1">
        <v>1924</v>
      </c>
      <c r="G28" s="1" t="s">
        <v>2</v>
      </c>
      <c r="H28" s="4">
        <v>6.7860428929326</v>
      </c>
      <c r="I28" s="4">
        <f t="shared" si="1"/>
        <v>13.5720857858652</v>
      </c>
      <c r="J28" s="1">
        <v>6.7860428929326</v>
      </c>
      <c r="K28" s="1" t="s">
        <v>2</v>
      </c>
      <c r="L28" s="1" t="s">
        <v>3</v>
      </c>
    </row>
    <row r="29" spans="1:12" ht="16" x14ac:dyDescent="0.2">
      <c r="A29" s="1" t="s">
        <v>58</v>
      </c>
      <c r="B29" s="1" t="s">
        <v>59</v>
      </c>
      <c r="C29" s="1" t="s">
        <v>131</v>
      </c>
      <c r="D29" s="1">
        <v>31</v>
      </c>
      <c r="E29" s="1">
        <v>2640</v>
      </c>
      <c r="F29" s="1">
        <v>2640</v>
      </c>
      <c r="G29" s="1" t="s">
        <v>2</v>
      </c>
      <c r="H29" s="4">
        <v>9.6028542614573702</v>
      </c>
      <c r="I29" s="4">
        <f t="shared" si="1"/>
        <v>19.20570852291474</v>
      </c>
      <c r="J29" s="1">
        <v>9.6028542614573702</v>
      </c>
      <c r="K29" s="1" t="s">
        <v>2</v>
      </c>
      <c r="L29" s="1" t="s">
        <v>3</v>
      </c>
    </row>
    <row r="30" spans="1:12" ht="16" x14ac:dyDescent="0.2">
      <c r="A30" s="1" t="s">
        <v>60</v>
      </c>
      <c r="B30" s="1" t="s">
        <v>61</v>
      </c>
      <c r="C30" s="1" t="s">
        <v>131</v>
      </c>
      <c r="D30" s="1">
        <v>32</v>
      </c>
      <c r="E30" s="1">
        <v>2080</v>
      </c>
      <c r="F30" s="1">
        <v>2080</v>
      </c>
      <c r="G30" s="1" t="s">
        <v>2</v>
      </c>
      <c r="H30" s="4">
        <v>7.4010607078375497</v>
      </c>
      <c r="I30" s="4">
        <f t="shared" si="1"/>
        <v>14.802121415675099</v>
      </c>
      <c r="J30" s="1">
        <v>7.4010607078375497</v>
      </c>
      <c r="K30" s="1" t="s">
        <v>2</v>
      </c>
      <c r="L30" s="1" t="s">
        <v>3</v>
      </c>
    </row>
    <row r="31" spans="1:12" ht="16" x14ac:dyDescent="0.2">
      <c r="A31" s="1" t="s">
        <v>62</v>
      </c>
      <c r="B31" s="1" t="s">
        <v>63</v>
      </c>
      <c r="C31" s="1" t="s">
        <v>132</v>
      </c>
      <c r="D31" s="1">
        <v>3</v>
      </c>
      <c r="E31" s="1">
        <v>594</v>
      </c>
      <c r="F31" s="1">
        <v>594</v>
      </c>
      <c r="G31" s="1" t="s">
        <v>2</v>
      </c>
      <c r="H31" s="4">
        <v>1.4934807553552101</v>
      </c>
      <c r="I31" s="4">
        <f t="shared" si="1"/>
        <v>2.9869615107104202</v>
      </c>
      <c r="J31" s="1">
        <v>1.4934807553552101</v>
      </c>
      <c r="K31" s="1" t="s">
        <v>2</v>
      </c>
      <c r="L31" s="1" t="s">
        <v>3</v>
      </c>
    </row>
    <row r="32" spans="1:12" ht="32" x14ac:dyDescent="0.2">
      <c r="A32" s="1" t="s">
        <v>64</v>
      </c>
      <c r="B32" s="1" t="s">
        <v>65</v>
      </c>
      <c r="C32" s="1" t="s">
        <v>132</v>
      </c>
      <c r="D32" s="1">
        <v>4</v>
      </c>
      <c r="E32" s="1">
        <v>368</v>
      </c>
      <c r="F32" s="1">
        <v>368</v>
      </c>
      <c r="G32" s="1" t="s">
        <v>2</v>
      </c>
      <c r="H32" s="4">
        <v>0.57562591359038995</v>
      </c>
      <c r="I32" s="4">
        <f t="shared" si="1"/>
        <v>1.1512518271807799</v>
      </c>
      <c r="J32" s="1">
        <v>0.57562591359038995</v>
      </c>
      <c r="K32" s="1" t="s">
        <v>2</v>
      </c>
      <c r="L32" s="1" t="s">
        <v>6</v>
      </c>
    </row>
    <row r="33" spans="1:12" ht="16" x14ac:dyDescent="0.2">
      <c r="A33" s="1" t="s">
        <v>66</v>
      </c>
      <c r="B33" s="1" t="s">
        <v>67</v>
      </c>
      <c r="C33" s="1" t="s">
        <v>132</v>
      </c>
      <c r="D33" s="1">
        <v>5</v>
      </c>
      <c r="E33" s="1">
        <v>452</v>
      </c>
      <c r="F33" s="1">
        <v>452</v>
      </c>
      <c r="G33" s="1" t="s">
        <v>2</v>
      </c>
      <c r="H33" s="4">
        <v>0.91833242526032</v>
      </c>
      <c r="I33" s="4">
        <f t="shared" si="1"/>
        <v>1.83666485052064</v>
      </c>
      <c r="J33" s="1">
        <v>0.91833242526032</v>
      </c>
      <c r="K33" s="1" t="s">
        <v>2</v>
      </c>
      <c r="L33" s="1" t="s">
        <v>3</v>
      </c>
    </row>
    <row r="34" spans="1:12" ht="32" x14ac:dyDescent="0.2">
      <c r="A34" s="1" t="s">
        <v>68</v>
      </c>
      <c r="B34" s="1" t="s">
        <v>69</v>
      </c>
      <c r="C34" s="1" t="s">
        <v>132</v>
      </c>
      <c r="D34" s="1">
        <v>6</v>
      </c>
      <c r="E34" s="1">
        <v>373</v>
      </c>
      <c r="F34" s="1">
        <v>373</v>
      </c>
      <c r="G34" s="1" t="s">
        <v>2</v>
      </c>
      <c r="H34" s="4">
        <v>0.59609774921678405</v>
      </c>
      <c r="I34" s="4">
        <f t="shared" si="1"/>
        <v>1.1921954984335681</v>
      </c>
      <c r="J34" s="1">
        <v>0.59609774921678405</v>
      </c>
      <c r="K34" s="1" t="s">
        <v>2</v>
      </c>
      <c r="L34" s="1" t="s">
        <v>6</v>
      </c>
    </row>
    <row r="35" spans="1:12" ht="32" x14ac:dyDescent="0.2">
      <c r="A35" s="1" t="s">
        <v>70</v>
      </c>
      <c r="B35" s="1" t="s">
        <v>71</v>
      </c>
      <c r="C35" s="1" t="s">
        <v>132</v>
      </c>
      <c r="D35" s="1">
        <v>7</v>
      </c>
      <c r="E35" s="1">
        <v>376</v>
      </c>
      <c r="F35" s="1">
        <v>376</v>
      </c>
      <c r="G35" s="1" t="s">
        <v>2</v>
      </c>
      <c r="H35" s="4">
        <v>0.60837570690171905</v>
      </c>
      <c r="I35" s="4">
        <f t="shared" si="1"/>
        <v>1.2167514138034381</v>
      </c>
      <c r="J35" s="1">
        <v>0.60837570690171905</v>
      </c>
      <c r="K35" s="1" t="s">
        <v>2</v>
      </c>
      <c r="L35" s="1" t="s">
        <v>6</v>
      </c>
    </row>
    <row r="36" spans="1:12" ht="16" x14ac:dyDescent="0.2">
      <c r="A36" s="1" t="s">
        <v>72</v>
      </c>
      <c r="B36" s="1" t="s">
        <v>73</v>
      </c>
      <c r="C36" s="1" t="s">
        <v>132</v>
      </c>
      <c r="D36" s="1">
        <v>8</v>
      </c>
      <c r="E36" s="1">
        <v>526</v>
      </c>
      <c r="F36" s="1">
        <v>526</v>
      </c>
      <c r="G36" s="1" t="s">
        <v>2</v>
      </c>
      <c r="H36" s="4">
        <v>1.2185800511723499</v>
      </c>
      <c r="I36" s="4">
        <f t="shared" si="1"/>
        <v>2.4371601023446998</v>
      </c>
      <c r="J36" s="1">
        <v>1.2185800511723499</v>
      </c>
      <c r="K36" s="1" t="s">
        <v>2</v>
      </c>
      <c r="L36" s="1" t="s">
        <v>3</v>
      </c>
    </row>
    <row r="37" spans="1:12" ht="32" x14ac:dyDescent="0.2">
      <c r="A37" s="1" t="s">
        <v>74</v>
      </c>
      <c r="B37" s="1" t="s">
        <v>75</v>
      </c>
      <c r="C37" s="1" t="s">
        <v>132</v>
      </c>
      <c r="D37" s="1">
        <v>9</v>
      </c>
      <c r="E37" s="1">
        <v>391</v>
      </c>
      <c r="F37" s="1">
        <v>391</v>
      </c>
      <c r="G37" s="1" t="s">
        <v>2</v>
      </c>
      <c r="H37" s="4">
        <v>0.66971058984159004</v>
      </c>
      <c r="I37" s="4">
        <f t="shared" si="1"/>
        <v>1.3394211796831801</v>
      </c>
      <c r="J37" s="1">
        <v>0.66971058984159004</v>
      </c>
      <c r="K37" s="1" t="s">
        <v>2</v>
      </c>
      <c r="L37" s="1" t="s">
        <v>6</v>
      </c>
    </row>
    <row r="38" spans="1:12" ht="32" x14ac:dyDescent="0.2">
      <c r="A38" s="1" t="s">
        <v>76</v>
      </c>
      <c r="B38" s="1" t="s">
        <v>77</v>
      </c>
      <c r="C38" s="1" t="s">
        <v>132</v>
      </c>
      <c r="D38" s="1">
        <v>10</v>
      </c>
      <c r="E38" s="1">
        <v>405</v>
      </c>
      <c r="F38" s="1">
        <v>405</v>
      </c>
      <c r="G38" s="1" t="s">
        <v>2</v>
      </c>
      <c r="H38" s="4">
        <v>0.72687941187140803</v>
      </c>
      <c r="I38" s="4">
        <f t="shared" si="1"/>
        <v>1.4537588237428161</v>
      </c>
      <c r="J38" s="1">
        <v>0.72687941187140803</v>
      </c>
      <c r="K38" s="1" t="s">
        <v>2</v>
      </c>
      <c r="L38" s="1" t="s">
        <v>6</v>
      </c>
    </row>
    <row r="39" spans="1:12" ht="32" x14ac:dyDescent="0.2">
      <c r="A39" s="1" t="s">
        <v>78</v>
      </c>
      <c r="B39" s="1" t="s">
        <v>79</v>
      </c>
      <c r="C39" s="1" t="s">
        <v>132</v>
      </c>
      <c r="D39" s="1">
        <v>11</v>
      </c>
      <c r="E39" s="1">
        <v>405</v>
      </c>
      <c r="F39" s="1">
        <v>405</v>
      </c>
      <c r="G39" s="1" t="s">
        <v>2</v>
      </c>
      <c r="H39" s="4">
        <v>0.72687941187140803</v>
      </c>
      <c r="I39" s="4">
        <f t="shared" si="1"/>
        <v>1.4537588237428161</v>
      </c>
      <c r="J39" s="1">
        <v>0.72687941187140803</v>
      </c>
      <c r="K39" s="1" t="s">
        <v>2</v>
      </c>
      <c r="L39" s="1" t="s">
        <v>6</v>
      </c>
    </row>
    <row r="40" spans="1:12" ht="16" x14ac:dyDescent="0.2">
      <c r="A40" s="1" t="s">
        <v>80</v>
      </c>
      <c r="B40" s="1" t="s">
        <v>81</v>
      </c>
      <c r="C40" s="1" t="s">
        <v>132</v>
      </c>
      <c r="D40" s="1">
        <v>12</v>
      </c>
      <c r="E40" s="1">
        <v>457</v>
      </c>
      <c r="F40" s="1">
        <v>457</v>
      </c>
      <c r="G40" s="1" t="s">
        <v>2</v>
      </c>
      <c r="H40" s="4">
        <v>0.93866169408593902</v>
      </c>
      <c r="I40" s="4">
        <f t="shared" si="1"/>
        <v>1.877323388171878</v>
      </c>
      <c r="J40" s="1">
        <v>0.93866169408593902</v>
      </c>
      <c r="K40" s="1" t="s">
        <v>2</v>
      </c>
      <c r="L40" s="1" t="s">
        <v>3</v>
      </c>
    </row>
    <row r="41" spans="1:12" ht="16" x14ac:dyDescent="0.2">
      <c r="A41" s="1" t="s">
        <v>82</v>
      </c>
      <c r="B41" s="1" t="s">
        <v>83</v>
      </c>
      <c r="C41" s="1" t="s">
        <v>132</v>
      </c>
      <c r="D41" s="1">
        <v>13</v>
      </c>
      <c r="E41" s="1">
        <v>526</v>
      </c>
      <c r="F41" s="1">
        <v>526</v>
      </c>
      <c r="G41" s="1" t="s">
        <v>2</v>
      </c>
      <c r="H41" s="4">
        <v>1.2185800511723499</v>
      </c>
      <c r="I41" s="4">
        <f t="shared" si="1"/>
        <v>2.4371601023446998</v>
      </c>
      <c r="J41" s="1">
        <v>1.2185800511723499</v>
      </c>
      <c r="K41" s="1" t="s">
        <v>2</v>
      </c>
      <c r="L41" s="1" t="s">
        <v>3</v>
      </c>
    </row>
    <row r="42" spans="1:12" ht="16" x14ac:dyDescent="0.2">
      <c r="A42" s="1" t="s">
        <v>84</v>
      </c>
      <c r="B42" s="1" t="s">
        <v>85</v>
      </c>
      <c r="C42" s="1" t="s">
        <v>132</v>
      </c>
      <c r="D42" s="1">
        <v>14</v>
      </c>
      <c r="E42" s="1">
        <v>445</v>
      </c>
      <c r="F42" s="1">
        <v>445</v>
      </c>
      <c r="G42" s="1" t="s">
        <v>2</v>
      </c>
      <c r="H42" s="4">
        <v>0.88985993599200197</v>
      </c>
      <c r="I42" s="4">
        <f t="shared" si="1"/>
        <v>1.7797198719840039</v>
      </c>
      <c r="J42" s="1">
        <v>0.88985993599200197</v>
      </c>
      <c r="K42" s="1" t="s">
        <v>2</v>
      </c>
      <c r="L42" s="1" t="s">
        <v>3</v>
      </c>
    </row>
    <row r="43" spans="1:12" ht="32" x14ac:dyDescent="0.2">
      <c r="A43" s="1" t="s">
        <v>86</v>
      </c>
      <c r="B43" s="1" t="s">
        <v>87</v>
      </c>
      <c r="C43" s="1" t="s">
        <v>132</v>
      </c>
      <c r="D43" s="1">
        <v>15</v>
      </c>
      <c r="E43" s="1">
        <v>406</v>
      </c>
      <c r="F43" s="1">
        <v>406</v>
      </c>
      <c r="G43" s="1" t="s">
        <v>2</v>
      </c>
      <c r="H43" s="4">
        <v>0.73096022321015497</v>
      </c>
      <c r="I43" s="4">
        <f t="shared" si="1"/>
        <v>1.4619204464203099</v>
      </c>
      <c r="J43" s="1">
        <v>0.73096022321015497</v>
      </c>
      <c r="K43" s="1" t="s">
        <v>2</v>
      </c>
      <c r="L43" s="1" t="s">
        <v>6</v>
      </c>
    </row>
    <row r="44" spans="1:12" ht="32" x14ac:dyDescent="0.2">
      <c r="A44" s="1" t="s">
        <v>88</v>
      </c>
      <c r="B44" s="1" t="s">
        <v>89</v>
      </c>
      <c r="C44" s="1" t="s">
        <v>132</v>
      </c>
      <c r="D44" s="1">
        <v>16</v>
      </c>
      <c r="E44" s="1">
        <v>394</v>
      </c>
      <c r="F44" s="1">
        <v>394</v>
      </c>
      <c r="G44" s="1" t="s">
        <v>2</v>
      </c>
      <c r="H44" s="4">
        <v>0.68196708125429295</v>
      </c>
      <c r="I44" s="4">
        <f t="shared" si="1"/>
        <v>1.3639341625085859</v>
      </c>
      <c r="J44" s="1">
        <v>0.68196708125429295</v>
      </c>
      <c r="K44" s="1" t="s">
        <v>2</v>
      </c>
      <c r="L44" s="1" t="s">
        <v>6</v>
      </c>
    </row>
    <row r="45" spans="1:12" ht="16" x14ac:dyDescent="0.2">
      <c r="A45" s="1" t="s">
        <v>90</v>
      </c>
      <c r="B45" s="1" t="s">
        <v>91</v>
      </c>
      <c r="C45" s="1" t="s">
        <v>132</v>
      </c>
      <c r="D45" s="1">
        <v>17</v>
      </c>
      <c r="E45" s="1">
        <v>726</v>
      </c>
      <c r="F45" s="1">
        <v>726</v>
      </c>
      <c r="G45" s="1" t="s">
        <v>2</v>
      </c>
      <c r="H45" s="4">
        <v>2.0250249191398901</v>
      </c>
      <c r="I45" s="4">
        <f t="shared" si="1"/>
        <v>4.0500498382797803</v>
      </c>
      <c r="J45" s="1">
        <v>2.0250249191398901</v>
      </c>
      <c r="K45" s="1" t="s">
        <v>2</v>
      </c>
      <c r="L45" s="1" t="s">
        <v>3</v>
      </c>
    </row>
    <row r="46" spans="1:12" ht="16" x14ac:dyDescent="0.2">
      <c r="A46" s="1" t="s">
        <v>92</v>
      </c>
      <c r="B46" s="1" t="s">
        <v>93</v>
      </c>
      <c r="C46" s="1" t="s">
        <v>132</v>
      </c>
      <c r="D46" s="1">
        <v>18</v>
      </c>
      <c r="E46" s="1">
        <v>556</v>
      </c>
      <c r="F46" s="1">
        <v>556</v>
      </c>
      <c r="G46" s="1" t="s">
        <v>2</v>
      </c>
      <c r="H46" s="4">
        <v>1.33996460802177</v>
      </c>
      <c r="I46" s="4">
        <f t="shared" si="1"/>
        <v>2.67992921604354</v>
      </c>
      <c r="J46" s="1">
        <v>1.33996460802177</v>
      </c>
      <c r="K46" s="1" t="s">
        <v>2</v>
      </c>
      <c r="L46" s="1" t="s">
        <v>3</v>
      </c>
    </row>
    <row r="47" spans="1:12" ht="16" x14ac:dyDescent="0.2">
      <c r="A47" s="1" t="s">
        <v>94</v>
      </c>
      <c r="B47" s="1" t="s">
        <v>95</v>
      </c>
      <c r="C47" s="1" t="s">
        <v>132</v>
      </c>
      <c r="D47" s="1">
        <v>19</v>
      </c>
      <c r="E47" s="1">
        <v>535</v>
      </c>
      <c r="F47" s="1">
        <v>535</v>
      </c>
      <c r="G47" s="1" t="s">
        <v>2</v>
      </c>
      <c r="H47" s="4">
        <v>1.2550138947194001</v>
      </c>
      <c r="I47" s="4">
        <f t="shared" si="1"/>
        <v>2.5100277894388001</v>
      </c>
      <c r="J47" s="1">
        <v>1.2550138947194001</v>
      </c>
      <c r="K47" s="1" t="s">
        <v>2</v>
      </c>
      <c r="L47" s="1" t="s">
        <v>3</v>
      </c>
    </row>
    <row r="48" spans="1:12" ht="16" x14ac:dyDescent="0.2">
      <c r="A48" s="1" t="s">
        <v>96</v>
      </c>
      <c r="B48" s="1" t="s">
        <v>97</v>
      </c>
      <c r="C48" s="1" t="s">
        <v>132</v>
      </c>
      <c r="D48" s="1">
        <v>20</v>
      </c>
      <c r="E48" s="1">
        <v>608</v>
      </c>
      <c r="F48" s="1">
        <v>608</v>
      </c>
      <c r="G48" s="1" t="s">
        <v>2</v>
      </c>
      <c r="H48" s="4">
        <v>1.5499776505212599</v>
      </c>
      <c r="I48" s="4">
        <f t="shared" si="1"/>
        <v>3.0999553010425198</v>
      </c>
      <c r="J48" s="1">
        <v>1.5499776505212599</v>
      </c>
      <c r="K48" s="1" t="s">
        <v>2</v>
      </c>
      <c r="L48" s="1" t="s">
        <v>3</v>
      </c>
    </row>
    <row r="49" spans="1:12" ht="16" x14ac:dyDescent="0.2">
      <c r="A49" s="1" t="s">
        <v>98</v>
      </c>
      <c r="B49" s="1" t="s">
        <v>99</v>
      </c>
      <c r="C49" s="1" t="s">
        <v>132</v>
      </c>
      <c r="D49" s="1">
        <v>21</v>
      </c>
      <c r="E49" s="1">
        <v>689</v>
      </c>
      <c r="F49" s="1">
        <v>689</v>
      </c>
      <c r="G49" s="1" t="s">
        <v>2</v>
      </c>
      <c r="H49" s="4">
        <v>1.8762726878007401</v>
      </c>
      <c r="I49" s="4">
        <f t="shared" si="1"/>
        <v>3.7525453756014802</v>
      </c>
      <c r="J49" s="1">
        <v>1.8762726878007401</v>
      </c>
      <c r="K49" s="1" t="s">
        <v>2</v>
      </c>
      <c r="L49" s="1" t="s">
        <v>3</v>
      </c>
    </row>
    <row r="50" spans="1:12" ht="32" x14ac:dyDescent="0.2">
      <c r="A50" s="1" t="s">
        <v>100</v>
      </c>
      <c r="B50" s="1" t="s">
        <v>101</v>
      </c>
      <c r="C50" s="1" t="s">
        <v>132</v>
      </c>
      <c r="D50" s="1">
        <v>22</v>
      </c>
      <c r="E50" s="1">
        <v>439</v>
      </c>
      <c r="F50" s="1">
        <v>439</v>
      </c>
      <c r="G50" s="1" t="s">
        <v>2</v>
      </c>
      <c r="H50" s="4">
        <v>0.865443952401447</v>
      </c>
      <c r="I50" s="4">
        <f t="shared" si="1"/>
        <v>1.730887904802894</v>
      </c>
      <c r="J50" s="1">
        <v>0.865443952401447</v>
      </c>
      <c r="K50" s="1" t="s">
        <v>2</v>
      </c>
      <c r="L50" s="1" t="s">
        <v>6</v>
      </c>
    </row>
    <row r="51" spans="1:12" ht="16" x14ac:dyDescent="0.2">
      <c r="A51" s="1" t="s">
        <v>102</v>
      </c>
      <c r="B51" s="1" t="s">
        <v>103</v>
      </c>
      <c r="C51" s="1" t="s">
        <v>132</v>
      </c>
      <c r="D51" s="1">
        <v>23</v>
      </c>
      <c r="E51" s="1">
        <v>492</v>
      </c>
      <c r="F51" s="1">
        <v>492</v>
      </c>
      <c r="G51" s="1" t="s">
        <v>2</v>
      </c>
      <c r="H51" s="4">
        <v>1.0807873100118801</v>
      </c>
      <c r="I51" s="4">
        <f t="shared" si="1"/>
        <v>2.1615746200237602</v>
      </c>
      <c r="J51" s="1">
        <v>1.0807873100118801</v>
      </c>
      <c r="K51" s="1" t="s">
        <v>2</v>
      </c>
      <c r="L51" s="1" t="s">
        <v>3</v>
      </c>
    </row>
    <row r="52" spans="1:12" ht="16" x14ac:dyDescent="0.2">
      <c r="A52" s="1" t="s">
        <v>104</v>
      </c>
      <c r="B52" s="1" t="s">
        <v>105</v>
      </c>
      <c r="C52" s="1" t="s">
        <v>132</v>
      </c>
      <c r="D52" s="1">
        <v>24</v>
      </c>
      <c r="E52" s="1">
        <v>545</v>
      </c>
      <c r="F52" s="1">
        <v>545</v>
      </c>
      <c r="G52" s="1" t="s">
        <v>2</v>
      </c>
      <c r="H52" s="4">
        <v>1.2954771474843501</v>
      </c>
      <c r="I52" s="4">
        <f t="shared" si="1"/>
        <v>2.5909542949687001</v>
      </c>
      <c r="J52" s="1">
        <v>1.2954771474843501</v>
      </c>
      <c r="K52" s="1" t="s">
        <v>2</v>
      </c>
      <c r="L52" s="1" t="s">
        <v>3</v>
      </c>
    </row>
    <row r="53" spans="1:12" ht="32" x14ac:dyDescent="0.2">
      <c r="A53" s="1" t="s">
        <v>106</v>
      </c>
      <c r="B53" s="1" t="s">
        <v>107</v>
      </c>
      <c r="C53" s="1" t="s">
        <v>132</v>
      </c>
      <c r="D53" s="1">
        <v>25</v>
      </c>
      <c r="E53" s="1">
        <v>424</v>
      </c>
      <c r="F53" s="1">
        <v>424</v>
      </c>
      <c r="G53" s="1" t="s">
        <v>2</v>
      </c>
      <c r="H53" s="4">
        <v>0.80435754670929904</v>
      </c>
      <c r="I53" s="4">
        <f t="shared" si="1"/>
        <v>1.6087150934185981</v>
      </c>
      <c r="J53" s="1">
        <v>0.80435754670929904</v>
      </c>
      <c r="K53" s="1" t="s">
        <v>2</v>
      </c>
      <c r="L53" s="1" t="s">
        <v>6</v>
      </c>
    </row>
    <row r="54" spans="1:12" ht="16" x14ac:dyDescent="0.2">
      <c r="A54" s="1" t="s">
        <v>108</v>
      </c>
      <c r="B54" s="1" t="s">
        <v>109</v>
      </c>
      <c r="C54" s="1" t="s">
        <v>132</v>
      </c>
      <c r="D54" s="1">
        <v>26</v>
      </c>
      <c r="E54" s="1">
        <v>779</v>
      </c>
      <c r="F54" s="1">
        <v>779</v>
      </c>
      <c r="G54" s="1" t="s">
        <v>2</v>
      </c>
      <c r="H54" s="4">
        <v>2.2378167336409001</v>
      </c>
      <c r="I54" s="4">
        <f t="shared" si="1"/>
        <v>4.4756334672818001</v>
      </c>
      <c r="J54" s="1">
        <v>2.2378167336409001</v>
      </c>
      <c r="K54" s="1" t="s">
        <v>2</v>
      </c>
      <c r="L54" s="1" t="s">
        <v>3</v>
      </c>
    </row>
    <row r="55" spans="1:12" ht="16" x14ac:dyDescent="0.2">
      <c r="A55" s="1" t="s">
        <v>110</v>
      </c>
      <c r="B55" s="1" t="s">
        <v>111</v>
      </c>
      <c r="C55" s="1" t="s">
        <v>132</v>
      </c>
      <c r="D55" s="1">
        <v>27</v>
      </c>
      <c r="E55" s="1">
        <v>616</v>
      </c>
      <c r="F55" s="1">
        <v>616</v>
      </c>
      <c r="G55" s="1" t="s">
        <v>2</v>
      </c>
      <c r="H55" s="4">
        <v>1.5822474935752999</v>
      </c>
      <c r="I55" s="4">
        <f t="shared" si="1"/>
        <v>3.1644949871505998</v>
      </c>
      <c r="J55" s="1">
        <v>1.5822474935752999</v>
      </c>
      <c r="K55" s="1" t="s">
        <v>2</v>
      </c>
      <c r="L55" s="1" t="s">
        <v>3</v>
      </c>
    </row>
    <row r="56" spans="1:12" ht="16" x14ac:dyDescent="0.2">
      <c r="A56" s="1" t="s">
        <v>112</v>
      </c>
      <c r="B56" s="1" t="s">
        <v>113</v>
      </c>
      <c r="C56" s="1" t="s">
        <v>132</v>
      </c>
      <c r="D56" s="1">
        <v>28</v>
      </c>
      <c r="E56" s="1">
        <v>509</v>
      </c>
      <c r="F56" s="1">
        <v>509</v>
      </c>
      <c r="G56" s="1" t="s">
        <v>2</v>
      </c>
      <c r="H56" s="4">
        <v>1.1497150217935199</v>
      </c>
      <c r="I56" s="4">
        <f t="shared" si="1"/>
        <v>2.2994300435870398</v>
      </c>
      <c r="J56" s="1">
        <v>1.1497150217935199</v>
      </c>
      <c r="K56" s="1" t="s">
        <v>2</v>
      </c>
      <c r="L56" s="1" t="s">
        <v>3</v>
      </c>
    </row>
    <row r="57" spans="1:12" ht="16" x14ac:dyDescent="0.2">
      <c r="A57" s="1" t="s">
        <v>114</v>
      </c>
      <c r="B57" s="1" t="s">
        <v>115</v>
      </c>
      <c r="C57" s="1" t="s">
        <v>132</v>
      </c>
      <c r="D57" s="1">
        <v>29</v>
      </c>
      <c r="E57" s="1">
        <v>570</v>
      </c>
      <c r="F57" s="1">
        <v>570</v>
      </c>
      <c r="G57" s="1" t="s">
        <v>2</v>
      </c>
      <c r="H57" s="4">
        <v>1.3965527108678599</v>
      </c>
      <c r="I57" s="4">
        <f t="shared" si="1"/>
        <v>2.7931054217357199</v>
      </c>
      <c r="J57" s="1">
        <v>1.3965527108678599</v>
      </c>
      <c r="K57" s="1" t="s">
        <v>2</v>
      </c>
      <c r="L57" s="1" t="s">
        <v>3</v>
      </c>
    </row>
    <row r="58" spans="1:12" ht="16" x14ac:dyDescent="0.2">
      <c r="A58" s="1" t="s">
        <v>116</v>
      </c>
      <c r="B58" s="1" t="s">
        <v>117</v>
      </c>
      <c r="C58" s="1" t="s">
        <v>132</v>
      </c>
      <c r="D58" s="1">
        <v>30</v>
      </c>
      <c r="E58" s="1">
        <v>1752</v>
      </c>
      <c r="F58" s="1">
        <v>1752</v>
      </c>
      <c r="G58" s="1" t="s">
        <v>2</v>
      </c>
      <c r="H58" s="4">
        <v>6.1069618812346498</v>
      </c>
      <c r="I58" s="4">
        <f t="shared" si="1"/>
        <v>12.2139237624693</v>
      </c>
      <c r="J58" s="1">
        <v>6.1069618812346498</v>
      </c>
      <c r="K58" s="1" t="s">
        <v>2</v>
      </c>
      <c r="L58" s="1" t="s">
        <v>3</v>
      </c>
    </row>
    <row r="59" spans="1:12" ht="16" x14ac:dyDescent="0.2">
      <c r="A59" s="1" t="s">
        <v>118</v>
      </c>
      <c r="B59" s="1" t="s">
        <v>119</v>
      </c>
      <c r="C59" s="1" t="s">
        <v>132</v>
      </c>
      <c r="D59" s="1">
        <v>31</v>
      </c>
      <c r="E59" s="1">
        <v>653</v>
      </c>
      <c r="F59" s="1">
        <v>653</v>
      </c>
      <c r="G59" s="1" t="s">
        <v>2</v>
      </c>
      <c r="H59" s="4">
        <v>1.73136881841721</v>
      </c>
      <c r="I59" s="4">
        <f t="shared" si="1"/>
        <v>3.46273763683442</v>
      </c>
      <c r="J59" s="1">
        <v>1.73136881841721</v>
      </c>
      <c r="K59" s="1" t="s">
        <v>2</v>
      </c>
      <c r="L59" s="1" t="s">
        <v>3</v>
      </c>
    </row>
    <row r="60" spans="1:12" ht="16" x14ac:dyDescent="0.2">
      <c r="A60" s="1" t="s">
        <v>120</v>
      </c>
      <c r="B60" s="1" t="s">
        <v>121</v>
      </c>
      <c r="C60" s="1" t="s">
        <v>132</v>
      </c>
      <c r="D60" s="1">
        <v>32</v>
      </c>
      <c r="E60" s="1">
        <v>458</v>
      </c>
      <c r="F60" s="1">
        <v>458</v>
      </c>
      <c r="G60" s="1" t="s">
        <v>2</v>
      </c>
      <c r="H60" s="4">
        <v>0.94272674155022596</v>
      </c>
      <c r="I60" s="4">
        <f t="shared" si="1"/>
        <v>1.8854534831004519</v>
      </c>
      <c r="J60" s="1">
        <v>0.94272674155022596</v>
      </c>
      <c r="K60" s="1" t="s">
        <v>2</v>
      </c>
      <c r="L60" s="1" t="s">
        <v>3</v>
      </c>
    </row>
    <row r="61" spans="1:12" x14ac:dyDescent="0.2">
      <c r="H61"/>
      <c r="I61"/>
    </row>
    <row r="62" spans="1:12" x14ac:dyDescent="0.2">
      <c r="H62"/>
      <c r="I62"/>
    </row>
    <row r="63" spans="1:12" x14ac:dyDescent="0.2">
      <c r="H63"/>
      <c r="I63"/>
    </row>
    <row r="64" spans="1:12" x14ac:dyDescent="0.2">
      <c r="H64"/>
      <c r="I64"/>
    </row>
    <row r="65" spans="8:9" x14ac:dyDescent="0.2">
      <c r="H65"/>
      <c r="I65"/>
    </row>
    <row r="66" spans="8:9" x14ac:dyDescent="0.2">
      <c r="H66"/>
      <c r="I66"/>
    </row>
    <row r="67" spans="8:9" x14ac:dyDescent="0.2">
      <c r="H67"/>
      <c r="I67"/>
    </row>
    <row r="68" spans="8:9" x14ac:dyDescent="0.2">
      <c r="H68"/>
      <c r="I68"/>
    </row>
    <row r="69" spans="8:9" x14ac:dyDescent="0.2">
      <c r="H69"/>
      <c r="I69"/>
    </row>
    <row r="70" spans="8:9" x14ac:dyDescent="0.2">
      <c r="H70"/>
      <c r="I70"/>
    </row>
    <row r="71" spans="8:9" x14ac:dyDescent="0.2">
      <c r="H71"/>
      <c r="I71"/>
    </row>
    <row r="72" spans="8:9" x14ac:dyDescent="0.2">
      <c r="H72"/>
      <c r="I72"/>
    </row>
    <row r="73" spans="8:9" x14ac:dyDescent="0.2">
      <c r="H73"/>
      <c r="I73"/>
    </row>
    <row r="74" spans="8:9" x14ac:dyDescent="0.2">
      <c r="H74"/>
      <c r="I74"/>
    </row>
    <row r="75" spans="8:9" x14ac:dyDescent="0.2">
      <c r="H75"/>
      <c r="I75"/>
    </row>
    <row r="76" spans="8:9" x14ac:dyDescent="0.2">
      <c r="H76"/>
      <c r="I76"/>
    </row>
    <row r="77" spans="8:9" x14ac:dyDescent="0.2">
      <c r="H77"/>
      <c r="I77"/>
    </row>
    <row r="78" spans="8:9" x14ac:dyDescent="0.2">
      <c r="H78"/>
      <c r="I78"/>
    </row>
    <row r="79" spans="8:9" x14ac:dyDescent="0.2">
      <c r="H79"/>
      <c r="I79"/>
    </row>
    <row r="80" spans="8:9" x14ac:dyDescent="0.2">
      <c r="H80"/>
      <c r="I80"/>
    </row>
    <row r="81" spans="8:9" x14ac:dyDescent="0.2">
      <c r="H81"/>
      <c r="I8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mesoscale_round_1</vt:lpstr>
      <vt:lpstr>IFNg</vt:lpstr>
      <vt:lpstr>IL-10</vt:lpstr>
      <vt:lpstr>IL-12p70</vt:lpstr>
      <vt:lpstr>IL-1b</vt:lpstr>
      <vt:lpstr>IL-2</vt:lpstr>
      <vt:lpstr>IL-4</vt:lpstr>
      <vt:lpstr>IL-5</vt:lpstr>
      <vt:lpstr>IL-6</vt:lpstr>
      <vt:lpstr>KCGRO</vt:lpstr>
      <vt:lpstr>TNFa</vt:lpstr>
    </vt:vector>
  </TitlesOfParts>
  <Company>SUND - KU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Camilla Hartmann Friis Hansen</dc:creator>
  <cp:lastModifiedBy>Kaare Tranaes</cp:lastModifiedBy>
  <dcterms:created xsi:type="dcterms:W3CDTF">2022-02-03T18:03:37Z</dcterms:created>
  <dcterms:modified xsi:type="dcterms:W3CDTF">2022-10-11T13:39:25Z</dcterms:modified>
</cp:coreProperties>
</file>